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預測與結果" sheetId="1" r:id="rId1"/>
    <sheet name="判斷條件明細" sheetId="2" r:id="rId2"/>
    <sheet name="本週統計" sheetId="3" r:id="rId3"/>
    <sheet name="判斷條件規則" sheetId="4" r:id="rId4"/>
    <sheet name="欄位說明" sheetId="5" r:id="rId5"/>
    <sheet name="說明" sheetId="6" r:id="rId6"/>
    <sheet name="沙盤推演-資產" sheetId="7" r:id="rId7"/>
    <sheet name="沙盤推演-事件" sheetId="8" r:id="rId8"/>
    <sheet name="沙盤推演-統計" sheetId="9" r:id="rId9"/>
    <sheet name="沙盤推演-規則" sheetId="10" r:id="rId10"/>
  </sheets>
  <definedNames>
    <definedName name="_xlnm._FilterDatabase" localSheetId="0" hidden="1">'預測與結果'!$A$1:$AF$45</definedName>
    <definedName name="_xlnm._FilterDatabase" localSheetId="1" hidden="1">'判斷條件明細'!$A$1:$AY$45</definedName>
    <definedName name="_xlnm._FilterDatabase" localSheetId="6" hidden="1">'沙盤推演-資產'!$A$1:$BY$94</definedName>
    <definedName name="_xlnm._FilterDatabase" localSheetId="7" hidden="1">'沙盤推演-事件'!$A$1:$AG$25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name val="Calibri"/>
      <family val="2"/>
    </font>
    <font>
      <b/>
      <sz val="11"/>
      <name val="Calibri"/>
      <family val="2"/>
    </font>
    <font>
      <b/>
      <sz val="11"/>
      <color rgb="FFC62828"/>
      <name val="Calibri"/>
      <family val="2"/>
    </font>
    <font>
      <b/>
      <sz val="11"/>
      <color rgb="FF2E7D32"/>
      <name val="Calibri"/>
      <family val="2"/>
    </font>
    <font>
      <sz val="11"/>
      <color rgb="FF757575"/>
      <name val="Calibri"/>
      <family val="2"/>
    </font>
    <font>
      <sz val="11"/>
      <color rgb="FFC62828"/>
      <name val="Calibri"/>
      <family val="2"/>
    </font>
    <font>
      <sz val="11"/>
      <color rgb="FF2E7D3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4" borderId="0" xfId="0" applyFont="1" applyFill="1" applyAlignment="1">
      <alignment wrapText="1" vertical="top"/>
    </xf>
    <xf numFmtId="0" fontId="1" fillId="3" borderId="0" xfId="0" applyFont="1" applyFill="1" applyAlignment="1">
      <alignment wrapText="1" vertical="top"/>
    </xf>
    <xf numFmtId="0" fontId="0" fillId="2" borderId="0" xfId="0" applyFill="1"/>
    <xf numFmtId="164" fontId="0" fillId="2" borderId="0" xfId="0" applyFill="1" applyNumberFormat="1"/>
    <xf numFmtId="1" fontId="0" fillId="2" borderId="0" xfId="0" applyFill="1" applyNumberFormat="1"/>
    <xf numFmtId="0" fontId="0" fillId="3" borderId="0" xfId="0" applyFill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 vertical="top"/>
    </xf>
    <xf numFmtId="0" fontId="1" fillId="0" borderId="0" xfId="0" applyFon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Fill="1" applyNumberFormat="1" applyAlignment="1">
      <alignment vertical="top"/>
    </xf>
    <xf numFmtId="0" fontId="0" fillId="3" borderId="0" xfId="0" applyFill="1" applyAlignment="1">
      <alignment wrapText="1" vertical="top"/>
    </xf>
    <xf numFmtId="0" fontId="0" fillId="2" borderId="0" xfId="0" applyFill="1" applyAlignment="1">
      <alignment wrapText="1" vertical="top"/>
    </xf>
    <xf numFmtId="0" fontId="1" fillId="5" borderId="0" xfId="0" applyFont="1" applyFill="1" applyAlignment="1">
      <alignment wrapText="1" vertical="top"/>
    </xf>
    <xf numFmtId="0" fontId="2" fillId="0" borderId="0" xfId="0" applyFont="1" applyAlignment="1">
      <alignment wrapText="1" vertical="top"/>
    </xf>
    <xf numFmtId="0" fontId="3" fillId="0" borderId="0" xfId="0" applyFont="1" applyAlignment="1">
      <alignment wrapText="1" vertical="top"/>
    </xf>
    <xf numFmtId="0" fontId="4" fillId="0" borderId="0" xfId="0" applyFont="1" applyAlignment="1">
      <alignment wrapText="1" vertical="top"/>
    </xf>
    <xf numFmtId="164" fontId="5" fillId="0" borderId="0" xfId="0" applyFont="1" applyNumberFormat="1" applyAlignment="1">
      <alignment vertical="top"/>
    </xf>
    <xf numFmtId="164" fontId="6" fillId="0" borderId="0" xfId="0" applyFont="1" applyNumberForma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5"/>
  <sheetViews>
    <sheetView workbookViewId="0" tabSelected="1">
      <pane xSplit="1" ySplit="1" topLeftCell="B2" activePane="bottomRight" state="frozen"/>
      <selection pane="bottomRight" activeCell="B2" sqref="B2"/>
    </sheetView>
  </sheetViews>
  <sheetFormatPr defaultRowHeight="15"/>
  <cols>
    <col min="1" max="1" width="24" customWidth="1"/>
    <col min="2" max="2" width="16" customWidth="1"/>
    <col min="3" max="3" width="10" customWidth="1"/>
    <col min="4" max="4" width="18" customWidth="1"/>
    <col min="5" max="5" width="16" customWidth="1"/>
    <col min="6" max="6" width="8" customWidth="1"/>
    <col min="7" max="7" width="11" customWidth="1"/>
    <col min="8" max="8" width="12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9" customWidth="1"/>
    <col min="15" max="15" width="8" customWidth="1"/>
    <col min="16" max="16" width="11" customWidth="1"/>
    <col min="17" max="17" width="12" customWidth="1"/>
    <col min="18" max="18" width="11" customWidth="1"/>
    <col min="19" max="19" width="13" customWidth="1"/>
    <col min="20" max="20" width="8" customWidth="1"/>
    <col min="21" max="21" width="8" customWidth="1"/>
    <col min="22" max="22" width="11" customWidth="1"/>
    <col min="23" max="23" width="18" customWidth="1"/>
    <col min="24" max="24" width="8" customWidth="1"/>
    <col min="25" max="25" width="11" customWidth="1"/>
    <col min="26" max="26" width="12" customWidth="1"/>
    <col min="27" max="27" width="10" customWidth="1"/>
    <col min="28" max="28" width="11" customWidth="1"/>
    <col min="29" max="29" width="12" customWidth="1"/>
    <col min="30" max="30" width="30" customWidth="1"/>
    <col min="31" max="31" width="60" customWidth="1"/>
    <col min="32" max="32" width="40" customWidth="1"/>
  </cols>
  <sheetData>
    <row r="1">
      <c r="A1" s="1" t="inlineStr">
        <is>
          <t>預測編號</t>
        </is>
      </c>
      <c r="B1" s="1" t="inlineStr">
        <is>
          <t>資產</t>
        </is>
      </c>
      <c r="C1" s="1" t="inlineStr">
        <is>
          <t>代號</t>
        </is>
      </c>
      <c r="D1" s="1" t="inlineStr">
        <is>
          <t>台股可買</t>
        </is>
      </c>
      <c r="E1" s="1" t="inlineStr">
        <is>
          <t>期間</t>
        </is>
      </c>
      <c r="F1" s="1" t="inlineStr">
        <is>
          <t>期間層級</t>
        </is>
      </c>
      <c r="G1" s="1" t="inlineStr">
        <is>
          <t>起始日</t>
        </is>
      </c>
      <c r="H1" s="1" t="inlineStr">
        <is>
          <t>起始收盤（未還原）</t>
        </is>
      </c>
      <c r="I1" s="1" t="inlineStr">
        <is>
          <t>預計到期日</t>
        </is>
      </c>
      <c r="J1" s="1" t="inlineStr">
        <is>
          <t>預測漲跌%（中位數）</t>
        </is>
      </c>
      <c r="K1" s="1" t="inlineStr">
        <is>
          <t>區間下緣%（p25）</t>
        </is>
      </c>
      <c r="L1" s="1" t="inlineStr">
        <is>
          <t>區間上緣%（p75）</t>
        </is>
      </c>
      <c r="M1" s="1" t="inlineStr">
        <is>
          <t>歷史上漲機率%</t>
        </is>
      </c>
      <c r="N1" s="1" t="inlineStr">
        <is>
          <t>方向判定</t>
        </is>
      </c>
      <c r="O1" s="1" t="inlineStr">
        <is>
          <t>狀態</t>
        </is>
      </c>
      <c r="P1" s="1" t="inlineStr">
        <is>
          <t>實際到期日</t>
        </is>
      </c>
      <c r="Q1" s="1" t="inlineStr">
        <is>
          <t>到期收盤（未還原）</t>
        </is>
      </c>
      <c r="R1" s="1" t="inlineStr">
        <is>
          <t>期間內每股配息</t>
        </is>
      </c>
      <c r="S1" s="1" t="inlineStr">
        <is>
          <t>實際漲跌%（還原權息，含息）</t>
        </is>
      </c>
      <c r="T1" s="1" t="inlineStr">
        <is>
          <t>落在區間</t>
        </is>
      </c>
      <c r="U1" s="1" t="inlineStr">
        <is>
          <t>方向對錯</t>
        </is>
      </c>
      <c r="V1" s="1" t="inlineStr">
        <is>
          <t>預測誤差（百分點）</t>
        </is>
      </c>
      <c r="W1" s="1" t="inlineStr">
        <is>
          <t>查價來源</t>
        </is>
      </c>
      <c r="X1" s="1" t="inlineStr">
        <is>
          <t>驗證人</t>
        </is>
      </c>
      <c r="Y1" s="1" t="inlineStr">
        <is>
          <t>驗證日期</t>
        </is>
      </c>
      <c r="Z1" s="2" t="inlineStr">
        <is>
          <t>人工覆核收盤（選填）</t>
        </is>
      </c>
      <c r="AA1" s="2" t="inlineStr">
        <is>
          <t>覆核人（選填）</t>
        </is>
      </c>
      <c r="AB1" s="2" t="inlineStr">
        <is>
          <t>覆核日期（選填）</t>
        </is>
      </c>
      <c r="AC1" s="1" t="inlineStr">
        <is>
          <t>覆核結果（公式）</t>
        </is>
      </c>
      <c r="AD1" s="1" t="inlineStr">
        <is>
          <t>備註</t>
        </is>
      </c>
      <c r="AE1" s="1" t="inlineStr">
        <is>
          <t>判斷原因</t>
        </is>
      </c>
      <c r="AF1" s="1" t="inlineStr">
        <is>
          <t>查價網址</t>
        </is>
      </c>
    </row>
    <row r="2">
      <c r="A2" s="3" t="inlineStr">
        <is>
          <t>2026-W42-TLT-H5</t>
        </is>
      </c>
      <c r="B2" s="3" t="inlineStr">
        <is>
          <t>美國長天期公債</t>
        </is>
      </c>
      <c r="C2" s="3" t="inlineStr">
        <is>
          <t>TLT</t>
        </is>
      </c>
      <c r="D2" s="3" t="inlineStr">
        <is>
          <t>00679B.TWO／00687B.TWO</t>
        </is>
      </c>
      <c r="E2" s="3" t="inlineStr">
        <is>
          <t>1週（5 交易日）</t>
        </is>
      </c>
      <c r="F2" s="3" t="inlineStr">
        <is>
          <t>短線</t>
        </is>
      </c>
      <c r="G2" s="3" t="inlineStr">
        <is>
          <t>2026-10-09</t>
        </is>
      </c>
      <c r="H2" s="3">
        <v>77.98</v>
      </c>
      <c r="I2" s="3" t="inlineStr">
        <is>
          <t>2026-10-16</t>
        </is>
      </c>
      <c r="J2" s="4">
        <v>0.13</v>
      </c>
      <c r="K2" s="4">
        <v>-0.95</v>
      </c>
      <c r="L2" s="4">
        <v>1.16</v>
      </c>
      <c r="M2" s="4">
        <v>53.74</v>
      </c>
      <c r="N2" s="3" t="inlineStr">
        <is>
          <t>不確定</t>
        </is>
      </c>
      <c r="O2" s="3" t="inlineStr">
        <is>
          <t>已結算</t>
        </is>
      </c>
      <c r="P2" s="3" t="inlineStr">
        <is>
          <t>2026-10-16</t>
        </is>
      </c>
      <c r="Q2" s="3">
        <v>80.05</v>
      </c>
      <c r="R2" s="3">
        <v>0.0</v>
      </c>
      <c r="S2" s="4">
        <v>2.65</v>
      </c>
      <c r="T2" s="3" t="inlineStr">
        <is>
          <t>否</t>
        </is>
      </c>
      <c r="U2" s="3" t="inlineStr">
        <is>
          <t>不判</t>
        </is>
      </c>
      <c r="V2" s="4">
        <v>2.52</v>
      </c>
      <c r="W2" s="3" t="inlineStr">
        <is>
          <t>系統：Yahoo Finance 日線</t>
        </is>
      </c>
      <c r="X2" s="3" t="inlineStr">
        <is>
          <t>系統</t>
        </is>
      </c>
      <c r="Y2" s="3" t="inlineStr">
        <is>
          <t>2026-10-17</t>
        </is>
      </c>
      <c r="Z2" s="6"/>
      <c r="AA2" s="6"/>
      <c r="AB2" s="6"/>
      <c r="AC2" t="str">
        <f>IF(Z2="","",IF(Q2="","系統尚未結算",IF(ROUND(ABS(Z2/Q2-1)*100,6)&lt;=0.5,"一致","不一致")))</f>
        <v/>
      </c>
      <c r="AD2" s="3"/>
      <c r="AE2" s="3" t="inlineStr">
        <is>
          <t>過去美國長天期公債（TLT）波動屬「中」時，5 個交易日（約1週）後的漲跌中位數 +0.1%，一半的情況落在 −0.9%～+1.2%，上漲機率 54%（約 403 段獨立樣本）。上漲機率介於 45%～55% 之間，不做方向判斷。走步回測（只算起始日前已到期的決策）方向命中 55%（331 次判定）、永遠猜漲 55%、永遠猜跌 45%，和永遠猜漲一樣準，沒有比較準；預測區間實際涵蓋 51%（理想約 50%）。趨勢空頭、動能弱、VIX 15（第 35 分位）只記錄、不參與預測（2008 年起的走步研究裡它們對漲跌沒有預測力）。</t>
        </is>
      </c>
      <c r="AF2" s="3" t="inlineStr">
        <is>
          <t>https://finance.yahoo.com/quote/TLT/history</t>
        </is>
      </c>
    </row>
    <row r="3">
      <c r="A3" s="3" t="inlineStr">
        <is>
          <t>2026-W42-LQD-H5</t>
        </is>
      </c>
      <c r="B3" s="3" t="inlineStr">
        <is>
          <t>美國投資級公司債</t>
        </is>
      </c>
      <c r="C3" s="3" t="inlineStr">
        <is>
          <t>LQD</t>
        </is>
      </c>
      <c r="D3" s="3" t="inlineStr">
        <is>
          <t>00720B.TWO</t>
        </is>
      </c>
      <c r="E3" s="3" t="inlineStr">
        <is>
          <t>1週（5 交易日）</t>
        </is>
      </c>
      <c r="F3" s="3" t="inlineStr">
        <is>
          <t>短線</t>
        </is>
      </c>
      <c r="G3" s="3" t="inlineStr">
        <is>
          <t>2026-10-09</t>
        </is>
      </c>
      <c r="H3" s="3">
        <v>102.41</v>
      </c>
      <c r="I3" s="3" t="inlineStr">
        <is>
          <t>2026-10-16</t>
        </is>
      </c>
      <c r="J3" s="4">
        <v>0.18</v>
      </c>
      <c r="K3" s="4">
        <v>-0.56</v>
      </c>
      <c r="L3" s="4">
        <v>0.85</v>
      </c>
      <c r="M3" s="4">
        <v>56.63</v>
      </c>
      <c r="N3" s="3" t="inlineStr">
        <is>
          <t>偏漲</t>
        </is>
      </c>
      <c r="O3" s="3" t="inlineStr">
        <is>
          <t>已結算</t>
        </is>
      </c>
      <c r="P3" s="3" t="inlineStr">
        <is>
          <t>2026-10-16</t>
        </is>
      </c>
      <c r="Q3" s="3">
        <v>103.4</v>
      </c>
      <c r="R3" s="3">
        <v>0.0</v>
      </c>
      <c r="S3" s="4">
        <v>0.97</v>
      </c>
      <c r="T3" s="3" t="inlineStr">
        <is>
          <t>否</t>
        </is>
      </c>
      <c r="U3" s="3" t="inlineStr">
        <is>
          <t>對</t>
        </is>
      </c>
      <c r="V3" s="4">
        <v>0.79</v>
      </c>
      <c r="W3" s="3" t="inlineStr">
        <is>
          <t>系統：Yahoo Finance 日線</t>
        </is>
      </c>
      <c r="X3" s="3" t="inlineStr">
        <is>
          <t>系統</t>
        </is>
      </c>
      <c r="Y3" s="3" t="inlineStr">
        <is>
          <t>2026-10-17</t>
        </is>
      </c>
      <c r="Z3" s="6"/>
      <c r="AA3" s="6"/>
      <c r="AB3" s="6"/>
      <c r="AC3" t="str">
        <f>IF(Z3="","",IF(Q3="","系統尚未結算",IF(ROUND(ABS(Z3/Q3-1)*100,6)&lt;=0.5,"一致","不一致")))</f>
        <v/>
      </c>
      <c r="AD3" s="3"/>
      <c r="AE3" s="3" t="inlineStr">
        <is>
          <t>過去美國投資級公司債（LQD）波動屬「高」時，5 個交易日（約1週）後的漲跌中位數 +0.2%，一半的情況落在 −0.6%～+0.8%，上漲機率 57%（約 404 段獨立樣本）。判定偏漲，主要反映長期上漲傾向，不是當下訊號。走步回測（只算起始日前已到期的決策）方向命中 58%（896 次判定）、永遠猜漲 58%、永遠猜跌 42%，和永遠猜漲一樣準，沒有比較準；預測區間實際涵蓋 53%（理想約 50%）。趨勢空頭、動能弱、VIX 15（第 35 分位）只記錄、不參與預測（2008 年起的走步研究裡它們對漲跌沒有預測力）。</t>
        </is>
      </c>
      <c r="AF3" s="3" t="inlineStr">
        <is>
          <t>https://finance.yahoo.com/quote/LQD/history</t>
        </is>
      </c>
    </row>
    <row r="4">
      <c r="A4" s="3" t="inlineStr">
        <is>
          <t>2026-W42-HYG-H5</t>
        </is>
      </c>
      <c r="B4" s="3" t="inlineStr">
        <is>
          <t>美國高收益債</t>
        </is>
      </c>
      <c r="C4" s="3" t="inlineStr">
        <is>
          <t>HYG</t>
        </is>
      </c>
      <c r="D4" s="3" t="inlineStr">
        <is>
          <t>00710B.TW</t>
        </is>
      </c>
      <c r="E4" s="3" t="inlineStr">
        <is>
          <t>1週（5 交易日）</t>
        </is>
      </c>
      <c r="F4" s="3" t="inlineStr">
        <is>
          <t>短線</t>
        </is>
      </c>
      <c r="G4" s="3" t="inlineStr">
        <is>
          <t>2026-10-09</t>
        </is>
      </c>
      <c r="H4" s="3">
        <v>77.23</v>
      </c>
      <c r="I4" s="3" t="inlineStr">
        <is>
          <t>2026-10-16</t>
        </is>
      </c>
      <c r="J4" s="4">
        <v>0.11</v>
      </c>
      <c r="K4" s="4">
        <v>-0.21</v>
      </c>
      <c r="L4" s="4">
        <v>0.38</v>
      </c>
      <c r="M4" s="4">
        <v>59.5</v>
      </c>
      <c r="N4" s="3" t="inlineStr">
        <is>
          <t>偏漲</t>
        </is>
      </c>
      <c r="O4" s="3" t="inlineStr">
        <is>
          <t>已結算</t>
        </is>
      </c>
      <c r="P4" s="3" t="inlineStr">
        <is>
          <t>2026-10-16</t>
        </is>
      </c>
      <c r="Q4" s="3">
        <v>76.86</v>
      </c>
      <c r="R4" s="3">
        <v>0.0</v>
      </c>
      <c r="S4" s="4">
        <v>-0.48</v>
      </c>
      <c r="T4" s="3" t="inlineStr">
        <is>
          <t>否</t>
        </is>
      </c>
      <c r="U4" s="3" t="inlineStr">
        <is>
          <t>錯</t>
        </is>
      </c>
      <c r="V4" s="4">
        <v>-0.59</v>
      </c>
      <c r="W4" s="3" t="inlineStr">
        <is>
          <t>系統：Yahoo Finance 日線</t>
        </is>
      </c>
      <c r="X4" s="3" t="inlineStr">
        <is>
          <t>系統</t>
        </is>
      </c>
      <c r="Y4" s="3" t="inlineStr">
        <is>
          <t>2026-10-17</t>
        </is>
      </c>
      <c r="Z4" s="6"/>
      <c r="AA4" s="6"/>
      <c r="AB4" s="6"/>
      <c r="AC4" t="str">
        <f>IF(Z4="","",IF(Q4="","系統尚未結算",IF(ROUND(ABS(Z4/Q4-1)*100,6)&lt;=0.5,"一致","不一致")))</f>
        <v/>
      </c>
      <c r="AD4" s="3"/>
      <c r="AE4" s="3" t="inlineStr">
        <is>
          <t>過去美國高收益債（HYG）波動屬「低」時，5 個交易日（約1週）後的漲跌中位數 +0.1%，一半的情況落在 −0.2%～+0.4%，上漲機率 60%（約 323 段獨立樣本）。判定偏漲，主要反映長期上漲傾向，不是當下訊號。走步回測（只算起始日前已到期的決策）方向命中 60%（793 次判定）、永遠猜漲 60%、永遠猜跌 40%，和永遠猜漲一樣準，沒有比較準；預測區間實際涵蓋 56%（理想約 50%）。趨勢盤整、動能弱、VIX 15（第 35 分位）只記錄、不參與預測（2008 年起的走步研究裡它們對漲跌沒有預測力）。</t>
        </is>
      </c>
      <c r="AF4" s="3" t="inlineStr">
        <is>
          <t>https://finance.yahoo.com/quote/HYG/history</t>
        </is>
      </c>
    </row>
    <row r="5">
      <c r="A5" s="3" t="inlineStr">
        <is>
          <t>2026-W42-GLD-H5</t>
        </is>
      </c>
      <c r="B5" s="3" t="inlineStr">
        <is>
          <t>黃金</t>
        </is>
      </c>
      <c r="C5" s="3" t="inlineStr">
        <is>
          <t>GLD</t>
        </is>
      </c>
      <c r="D5" s="3" t="inlineStr">
        <is>
          <t>00635U.TW</t>
        </is>
      </c>
      <c r="E5" s="3" t="inlineStr">
        <is>
          <t>1週（5 交易日）</t>
        </is>
      </c>
      <c r="F5" s="3" t="inlineStr">
        <is>
          <t>短線</t>
        </is>
      </c>
      <c r="G5" s="3" t="inlineStr">
        <is>
          <t>2026-10-09</t>
        </is>
      </c>
      <c r="H5" s="3">
        <v>384.58</v>
      </c>
      <c r="I5" s="3" t="inlineStr">
        <is>
          <t>2026-10-16</t>
        </is>
      </c>
      <c r="J5" s="4">
        <v>0.27</v>
      </c>
      <c r="K5" s="4">
        <v>-1.77</v>
      </c>
      <c r="L5" s="4">
        <v>2.06</v>
      </c>
      <c r="M5" s="4">
        <v>53.42</v>
      </c>
      <c r="N5" s="3" t="inlineStr">
        <is>
          <t>不確定</t>
        </is>
      </c>
      <c r="O5" s="3" t="inlineStr">
        <is>
          <t>已結算</t>
        </is>
      </c>
      <c r="P5" s="3" t="inlineStr">
        <is>
          <t>2026-10-16</t>
        </is>
      </c>
      <c r="Q5" s="3">
        <v>382.01</v>
      </c>
      <c r="R5" s="3">
        <v>0.0</v>
      </c>
      <c r="S5" s="4">
        <v>-0.67</v>
      </c>
      <c r="T5" s="3" t="inlineStr">
        <is>
          <t>是</t>
        </is>
      </c>
      <c r="U5" s="3" t="inlineStr">
        <is>
          <t>不判</t>
        </is>
      </c>
      <c r="V5" s="4">
        <v>-0.94</v>
      </c>
      <c r="W5" s="3" t="inlineStr">
        <is>
          <t>系統：Yahoo Finance 日線</t>
        </is>
      </c>
      <c r="X5" s="3" t="inlineStr">
        <is>
          <t>系統</t>
        </is>
      </c>
      <c r="Y5" s="3" t="inlineStr">
        <is>
          <t>2026-10-17</t>
        </is>
      </c>
      <c r="Z5" s="6"/>
      <c r="AA5" s="6"/>
      <c r="AB5" s="6"/>
      <c r="AC5" t="str">
        <f>IF(Z5="","",IF(Q5="","系統尚未結算",IF(ROUND(ABS(Z5/Q5-1)*100,6)&lt;=0.5,"一致","不一致")))</f>
        <v/>
      </c>
      <c r="AD5" s="3"/>
      <c r="AE5" s="3" t="inlineStr">
        <is>
          <t>過去黃金（GLD）波動屬「高」時，5 個交易日（約1週）後的漲跌中位數 +0.3%，一半的情況落在 −1.8%～+2.1%，上漲機率 53%（約 365 段獨立樣本）。上漲機率介於 45%～55% 之間，不做方向判斷。走步回測（只算起始日前已到期的決策）方向命中 59%（435 次判定）、永遠猜漲 59%、永遠猜跌 41%，和永遠猜漲一樣準，沒有比較準；預測區間實際涵蓋 54%（理想約 50%）。趨勢空頭、動能弱、VIX 15（第 35 分位）只記錄、不參與預測（2008 年起的走步研究裡它們對漲跌沒有預測力）。</t>
        </is>
      </c>
      <c r="AF5" s="3" t="inlineStr">
        <is>
          <t>https://finance.yahoo.com/quote/GLD/history</t>
        </is>
      </c>
    </row>
    <row r="6">
      <c r="A6" s="3" t="inlineStr">
        <is>
          <t>2026-W42-TWD=X-H5</t>
        </is>
      </c>
      <c r="B6" s="3" t="inlineStr">
        <is>
          <t>美元／新台幣</t>
        </is>
      </c>
      <c r="C6" s="3" t="inlineStr">
        <is>
          <t>TWD=X</t>
        </is>
      </c>
      <c r="D6" s="3" t="inlineStr">
        <is>
          <t>美元定存／00865B.TW</t>
        </is>
      </c>
      <c r="E6" s="3" t="inlineStr">
        <is>
          <t>1週（5 交易日）</t>
        </is>
      </c>
      <c r="F6" s="3" t="inlineStr">
        <is>
          <t>短線</t>
        </is>
      </c>
      <c r="G6" s="3" t="inlineStr">
        <is>
          <t>2026-10-08</t>
        </is>
      </c>
      <c r="H6" s="3">
        <v>31.8483</v>
      </c>
      <c r="I6" s="3" t="inlineStr">
        <is>
          <t>2026-10-15</t>
        </is>
      </c>
      <c r="J6" s="4">
        <v>0.0</v>
      </c>
      <c r="K6" s="4">
        <v>-0.27</v>
      </c>
      <c r="L6" s="4">
        <v>0.27</v>
      </c>
      <c r="M6" s="4">
        <v>48.96</v>
      </c>
      <c r="N6" s="3" t="inlineStr">
        <is>
          <t>不確定</t>
        </is>
      </c>
      <c r="O6" s="3" t="inlineStr">
        <is>
          <t>已結算</t>
        </is>
      </c>
      <c r="P6" s="3" t="inlineStr">
        <is>
          <t>2026-10-15</t>
        </is>
      </c>
      <c r="Q6" s="3">
        <v>32.1899</v>
      </c>
      <c r="R6" s="3">
        <v>0.0</v>
      </c>
      <c r="S6" s="4">
        <v>1.07</v>
      </c>
      <c r="T6" s="3" t="inlineStr">
        <is>
          <t>否</t>
        </is>
      </c>
      <c r="U6" s="3" t="inlineStr">
        <is>
          <t>不判</t>
        </is>
      </c>
      <c r="V6" s="4">
        <v>1.07</v>
      </c>
      <c r="W6" s="3" t="inlineStr">
        <is>
          <t>系統：Yahoo Finance 日線</t>
        </is>
      </c>
      <c r="X6" s="3" t="inlineStr">
        <is>
          <t>系統</t>
        </is>
      </c>
      <c r="Y6" s="3" t="inlineStr">
        <is>
          <t>2026-10-16</t>
        </is>
      </c>
      <c r="Z6" s="6"/>
      <c r="AA6" s="6"/>
      <c r="AB6" s="6"/>
      <c r="AC6" t="str">
        <f>IF(Z6="","",IF(Q6="","系統尚未結算",IF(ROUND(ABS(Z6/Q6-1)*100,6)&lt;=0.5,"一致","不一致")))</f>
        <v/>
      </c>
      <c r="AD6" s="3"/>
      <c r="AE6" s="3" t="inlineStr">
        <is>
          <t>過去美元／新台幣（TWD=X）波動屬「低」時，5 個交易日（約1週）後的漲跌中位數 0.0%，一半的情況落在 −0.3%～+0.3%，上漲機率 49%（約 357 段獨立樣本）。上漲機率介於 45%～55% 之間，不做方向判斷。走步回測（只算起始日前已到期的決策）方向命中 56%（25 次判定）、永遠猜漲 56%、永遠猜跌 44%，和永遠猜漲一樣準，沒有比較準；預測區間實際涵蓋 49%（理想約 50%）。趨勢多頭、動能強、VIX 15（第 35 分位）只記錄、不參與預測（2008 年起的走步研究裡它們對漲跌沒有預測力）。</t>
        </is>
      </c>
      <c r="AF6" s="3" t="inlineStr">
        <is>
          <t>https://finance.yahoo.com/quote/TWD=X/history</t>
        </is>
      </c>
    </row>
    <row r="7">
      <c r="A7" s="3" t="inlineStr">
        <is>
          <t>2026-W42-UUP-H5</t>
        </is>
      </c>
      <c r="B7" s="3" t="inlineStr">
        <is>
          <t>美元指數</t>
        </is>
      </c>
      <c r="C7" s="3" t="inlineStr">
        <is>
          <t>UUP</t>
        </is>
      </c>
      <c r="D7" s="3" t="inlineStr">
        <is>
          <t>00682U.TW</t>
        </is>
      </c>
      <c r="E7" s="3" t="inlineStr">
        <is>
          <t>1週（5 交易日）</t>
        </is>
      </c>
      <c r="F7" s="3" t="inlineStr">
        <is>
          <t>短線</t>
        </is>
      </c>
      <c r="G7" s="3" t="inlineStr">
        <is>
          <t>2026-10-09</t>
        </is>
      </c>
      <c r="H7" s="3">
        <v>29.02</v>
      </c>
      <c r="I7" s="3" t="inlineStr">
        <is>
          <t>2026-10-16</t>
        </is>
      </c>
      <c r="J7" s="4">
        <v>0.12</v>
      </c>
      <c r="K7" s="4">
        <v>-0.41</v>
      </c>
      <c r="L7" s="4">
        <v>0.65</v>
      </c>
      <c r="M7" s="4">
        <v>55.02</v>
      </c>
      <c r="N7" s="3" t="inlineStr">
        <is>
          <t>偏漲</t>
        </is>
      </c>
      <c r="O7" s="3" t="inlineStr">
        <is>
          <t>已結算</t>
        </is>
      </c>
      <c r="P7" s="3" t="inlineStr">
        <is>
          <t>2026-10-16</t>
        </is>
      </c>
      <c r="Q7" s="3">
        <v>28.92</v>
      </c>
      <c r="R7" s="3">
        <v>0.0</v>
      </c>
      <c r="S7" s="4">
        <v>-0.34</v>
      </c>
      <c r="T7" s="3" t="inlineStr">
        <is>
          <t>是</t>
        </is>
      </c>
      <c r="U7" s="3" t="inlineStr">
        <is>
          <t>錯</t>
        </is>
      </c>
      <c r="V7" s="4">
        <v>-0.46</v>
      </c>
      <c r="W7" s="3" t="inlineStr">
        <is>
          <t>系統：Yahoo Finance 日線</t>
        </is>
      </c>
      <c r="X7" s="3" t="inlineStr">
        <is>
          <t>系統</t>
        </is>
      </c>
      <c r="Y7" s="3" t="inlineStr">
        <is>
          <t>2026-10-17</t>
        </is>
      </c>
      <c r="Z7" s="6"/>
      <c r="AA7" s="6"/>
      <c r="AB7" s="6"/>
      <c r="AC7" t="str">
        <f>IF(Z7="","",IF(Q7="","系統尚未結算",IF(ROUND(ABS(Z7/Q7-1)*100,6)&lt;=0.5,"一致","不一致")))</f>
        <v/>
      </c>
      <c r="AD7" s="3"/>
      <c r="AE7" s="3" t="inlineStr">
        <is>
          <t>過去美元指數（UUP）波動屬「低」時，5 個交易日（約1週）後的漲跌中位數 +0.1%，一半的情況落在 −0.4%～+0.7%，上漲機率 55.0%（約 326 段獨立樣本）。判定偏漲，主要反映長期上漲傾向，不是當下訊號。走步回測（只算起始日前已到期的決策）方向命中 49%（78 次判定）、永遠猜漲 51%、永遠猜跌 49%，還不如永遠猜漲（差 3 個百分點）；預測區間實際涵蓋 54%（理想約 50%）。趨勢多頭、動能強、VIX 15（第 35 分位）只記錄、不參與預測（2008 年起的走步研究裡它們對漲跌沒有預測力）。</t>
        </is>
      </c>
      <c r="AF7" s="3" t="inlineStr">
        <is>
          <t>https://finance.yahoo.com/quote/UUP/history</t>
        </is>
      </c>
    </row>
    <row r="8">
      <c r="A8" s="3" t="inlineStr">
        <is>
          <t>2026-W42-FXY-H5</t>
        </is>
      </c>
      <c r="B8" s="3" t="inlineStr">
        <is>
          <t>日圓</t>
        </is>
      </c>
      <c r="C8" s="3" t="inlineStr">
        <is>
          <t>FXY</t>
        </is>
      </c>
      <c r="D8" s="3" t="inlineStr">
        <is>
          <t>無</t>
        </is>
      </c>
      <c r="E8" s="3" t="inlineStr">
        <is>
          <t>1週（5 交易日）</t>
        </is>
      </c>
      <c r="F8" s="3" t="inlineStr">
        <is>
          <t>短線</t>
        </is>
      </c>
      <c r="G8" s="3" t="inlineStr">
        <is>
          <t>2026-10-09</t>
        </is>
      </c>
      <c r="H8" s="3">
        <v>57.9</v>
      </c>
      <c r="I8" s="3" t="inlineStr">
        <is>
          <t>2026-10-16</t>
        </is>
      </c>
      <c r="J8" s="4">
        <v>-0.1</v>
      </c>
      <c r="K8" s="4">
        <v>-0.65</v>
      </c>
      <c r="L8" s="4">
        <v>0.51</v>
      </c>
      <c r="M8" s="4">
        <v>44.72</v>
      </c>
      <c r="N8" s="3" t="inlineStr">
        <is>
          <t>偏跌</t>
        </is>
      </c>
      <c r="O8" s="3" t="inlineStr">
        <is>
          <t>已結算</t>
        </is>
      </c>
      <c r="P8" s="3" t="inlineStr">
        <is>
          <t>2026-10-16</t>
        </is>
      </c>
      <c r="Q8" s="3">
        <v>58.0</v>
      </c>
      <c r="R8" s="3">
        <v>0.0</v>
      </c>
      <c r="S8" s="4">
        <v>0.17</v>
      </c>
      <c r="T8" s="3" t="inlineStr">
        <is>
          <t>是</t>
        </is>
      </c>
      <c r="U8" s="3" t="inlineStr">
        <is>
          <t>錯</t>
        </is>
      </c>
      <c r="V8" s="4">
        <v>0.27</v>
      </c>
      <c r="W8" s="3" t="inlineStr">
        <is>
          <t>系統：Yahoo Finance 日線</t>
        </is>
      </c>
      <c r="X8" s="3" t="inlineStr">
        <is>
          <t>系統</t>
        </is>
      </c>
      <c r="Y8" s="3" t="inlineStr">
        <is>
          <t>2026-10-17</t>
        </is>
      </c>
      <c r="Z8" s="6"/>
      <c r="AA8" s="6"/>
      <c r="AB8" s="6"/>
      <c r="AC8" t="str">
        <f>IF(Z8="","",IF(Q8="","系統尚未結算",IF(ROUND(ABS(Z8/Q8-1)*100,6)&lt;=0.5,"一致","不一致")))</f>
        <v/>
      </c>
      <c r="AD8" s="3"/>
      <c r="AE8" s="3" t="inlineStr">
        <is>
          <t>過去日圓（FXY）波動屬「低」時，5 個交易日（約1週）後的漲跌中位數 −0.1%，一半的情況落在 −0.7%～+0.5%，上漲機率 44.7%（約 327 段獨立樣本）。判定偏跌，只表示這個波動狀態下歷史上跌的次數比漲多，是歷史傾向，不是當下訊號。走步回測（只算起始日前已到期的決策）方向命中 50%（101 次判定）、永遠猜漲 49%、永遠猜跌 51%，還不如永遠猜跌（差 2 個百分點）；預測區間實際涵蓋 53%（理想約 50%）。趨勢盤整、動能弱、VIX 15（第 35 分位）只記錄、不參與預測（2008 年起的走步研究裡它們對漲跌沒有預測力）。</t>
        </is>
      </c>
      <c r="AF8" s="3" t="inlineStr">
        <is>
          <t>https://finance.yahoo.com/quote/FXY/history</t>
        </is>
      </c>
    </row>
    <row r="9">
      <c r="A9" s="3" t="inlineStr">
        <is>
          <t>2026-W42-0050.TW-H5</t>
        </is>
      </c>
      <c r="B9" s="3" t="inlineStr">
        <is>
          <t>台股（台灣 50）</t>
        </is>
      </c>
      <c r="C9" s="3" t="inlineStr">
        <is>
          <t>0050.TW</t>
        </is>
      </c>
      <c r="D9" s="3" t="inlineStr">
        <is>
          <t>006208.TW</t>
        </is>
      </c>
      <c r="E9" s="3" t="inlineStr">
        <is>
          <t>1週（5 交易日）</t>
        </is>
      </c>
      <c r="F9" s="3" t="inlineStr">
        <is>
          <t>短線</t>
        </is>
      </c>
      <c r="G9" s="3" t="inlineStr">
        <is>
          <t>2026-10-08</t>
        </is>
      </c>
      <c r="H9" s="3">
        <v>114.95</v>
      </c>
      <c r="I9" s="3" t="inlineStr">
        <is>
          <t>2026-10-15</t>
        </is>
      </c>
      <c r="J9" s="4">
        <v>0.43</v>
      </c>
      <c r="K9" s="4">
        <v>-1.15</v>
      </c>
      <c r="L9" s="4">
        <v>1.93</v>
      </c>
      <c r="M9" s="4">
        <v>57.75</v>
      </c>
      <c r="N9" s="3" t="inlineStr">
        <is>
          <t>偏漲</t>
        </is>
      </c>
      <c r="O9" s="3" t="inlineStr">
        <is>
          <t>未到期</t>
        </is>
      </c>
      <c r="P9" s="3"/>
      <c r="Q9" s="3"/>
      <c r="R9" s="3"/>
      <c r="S9" s="4"/>
      <c r="T9" s="3"/>
      <c r="U9" s="3"/>
      <c r="V9" s="4"/>
      <c r="W9" s="3"/>
      <c r="X9" s="3"/>
      <c r="Y9" s="3"/>
      <c r="Z9" s="6"/>
      <c r="AA9" s="6"/>
      <c r="AB9" s="6"/>
      <c r="AC9" t="str">
        <f>IF(Z9="","",IF(Q9="","系統尚未結算",IF(ROUND(ABS(Z9/Q9-1)*100,6)&lt;=0.5,"一致","不一致")))</f>
        <v/>
      </c>
      <c r="AD9" s="3"/>
      <c r="AE9" s="3" t="inlineStr">
        <is>
          <t>過去台股（台灣 50）（0050.TW）波動屬「中」時，5 個交易日（約1週）後的漲跌中位數 +0.4%，一半的情況落在 −1.1%～+1.9%，上漲機率 58%（約 287 段獨立樣本）。判定偏漲，主要反映長期上漲傾向，不是當下訊號。走步回測（只算起始日前已到期的決策）方向命中 58%（441 次判定）、永遠猜漲 58%、永遠猜跌 42%，和永遠猜漲一樣準，沒有比較準；預測區間實際涵蓋 48%（理想約 50%）。趨勢多頭、動能強、VIX 15（第 35 分位）只記錄、不參與預測（2008 年起的走步研究裡它們對漲跌沒有預測力）。</t>
        </is>
      </c>
      <c r="AF9" s="3" t="inlineStr">
        <is>
          <t>https://finance.yahoo.com/quote/0050.TW/history</t>
        </is>
      </c>
    </row>
    <row r="10">
      <c r="A10" s="3" t="inlineStr">
        <is>
          <t>2026-W42-2330.TW-H5</t>
        </is>
      </c>
      <c r="B10" s="3" t="inlineStr">
        <is>
          <t>台積電</t>
        </is>
      </c>
      <c r="C10" s="3" t="inlineStr">
        <is>
          <t>2330.TW</t>
        </is>
      </c>
      <c r="D10" s="3" t="inlineStr">
        <is>
          <t>2330.TW</t>
        </is>
      </c>
      <c r="E10" s="3" t="inlineStr">
        <is>
          <t>1週（5 交易日）</t>
        </is>
      </c>
      <c r="F10" s="3" t="inlineStr">
        <is>
          <t>短線</t>
        </is>
      </c>
      <c r="G10" s="3" t="inlineStr">
        <is>
          <t>2026-10-08</t>
        </is>
      </c>
      <c r="H10" s="3">
        <v>2550.0</v>
      </c>
      <c r="I10" s="3" t="inlineStr">
        <is>
          <t>2026-10-15</t>
        </is>
      </c>
      <c r="J10" s="4">
        <v>0.44</v>
      </c>
      <c r="K10" s="4">
        <v>-1.33</v>
      </c>
      <c r="L10" s="4">
        <v>2.37</v>
      </c>
      <c r="M10" s="4">
        <v>54.97</v>
      </c>
      <c r="N10" s="3" t="inlineStr">
        <is>
          <t>不確定</t>
        </is>
      </c>
      <c r="O10" s="3" t="inlineStr">
        <is>
          <t>已結算</t>
        </is>
      </c>
      <c r="P10" s="3" t="inlineStr">
        <is>
          <t>2026-10-16</t>
        </is>
      </c>
      <c r="Q10" s="3">
        <v>2420.0</v>
      </c>
      <c r="R10" s="3">
        <v>0.0</v>
      </c>
      <c r="S10" s="4">
        <v>-5.1</v>
      </c>
      <c r="T10" s="3" t="inlineStr">
        <is>
          <t>否</t>
        </is>
      </c>
      <c r="U10" s="3" t="inlineStr">
        <is>
          <t>不判</t>
        </is>
      </c>
      <c r="V10" s="4">
        <v>-5.54</v>
      </c>
      <c r="W10" s="3" t="inlineStr">
        <is>
          <t>系統：Yahoo Finance 日線</t>
        </is>
      </c>
      <c r="X10" s="3" t="inlineStr">
        <is>
          <t>系統</t>
        </is>
      </c>
      <c r="Y10" s="3" t="inlineStr">
        <is>
          <t>2026-10-16</t>
        </is>
      </c>
      <c r="Z10" s="6"/>
      <c r="AA10" s="6"/>
      <c r="AB10" s="6"/>
      <c r="AC10" t="str">
        <f>IF(Z10="","",IF(Q10="","系統尚未結算",IF(ROUND(ABS(Z10/Q10-1)*100,6)&lt;=0.5,"一致","不一致")))</f>
        <v/>
      </c>
      <c r="AD10" s="3"/>
      <c r="AE10" s="3" t="inlineStr">
        <is>
          <t>過去台積電（2330.TW）波動屬「低」時，5 個交易日（約1週）後的漲跌中位數 +0.4%，一半的情況落在 −1.3%～+2.4%，上漲機率 55.0%（約 441 段獨立樣本）。上漲機率介於 45%～55% 之間，不做方向判斷。走步回測（只算起始日前已到期的決策）方向命中 57%（70 次判定）、永遠猜漲 57%、永遠猜跌 43%，和永遠猜漲一樣準，沒有比較準；預測區間實際涵蓋 53%（理想約 50%）。趨勢多頭、動能中、VIX 15（第 35 分位）只記錄、不參與預測（2008 年起的走步研究裡它們對漲跌沒有預測力）。</t>
        </is>
      </c>
      <c r="AF10" s="3" t="inlineStr">
        <is>
          <t>https://finance.yahoo.com/quote/2330.TW/history</t>
        </is>
      </c>
    </row>
    <row r="11">
      <c r="A11" s="3" t="inlineStr">
        <is>
          <t>2026-W42-SOXX-H5</t>
        </is>
      </c>
      <c r="B11" s="3" t="inlineStr">
        <is>
          <t>美國半導體</t>
        </is>
      </c>
      <c r="C11" s="3" t="inlineStr">
        <is>
          <t>SOXX</t>
        </is>
      </c>
      <c r="D11" s="3" t="inlineStr">
        <is>
          <t>00891.TW</t>
        </is>
      </c>
      <c r="E11" s="3" t="inlineStr">
        <is>
          <t>1週（5 交易日）</t>
        </is>
      </c>
      <c r="F11" s="3" t="inlineStr">
        <is>
          <t>短線</t>
        </is>
      </c>
      <c r="G11" s="3" t="inlineStr">
        <is>
          <t>2026-10-09</t>
        </is>
      </c>
      <c r="H11" s="3">
        <v>559.4</v>
      </c>
      <c r="I11" s="3" t="inlineStr">
        <is>
          <t>2026-10-16</t>
        </is>
      </c>
      <c r="J11" s="4">
        <v>0.46</v>
      </c>
      <c r="K11" s="4">
        <v>-3.53</v>
      </c>
      <c r="L11" s="4">
        <v>4.27</v>
      </c>
      <c r="M11" s="4">
        <v>52.97</v>
      </c>
      <c r="N11" s="3" t="inlineStr">
        <is>
          <t>不確定</t>
        </is>
      </c>
      <c r="O11" s="3" t="inlineStr">
        <is>
          <t>已結算</t>
        </is>
      </c>
      <c r="P11" s="3" t="inlineStr">
        <is>
          <t>2026-10-16</t>
        </is>
      </c>
      <c r="Q11" s="3">
        <v>493.39</v>
      </c>
      <c r="R11" s="3">
        <v>0.0</v>
      </c>
      <c r="S11" s="4">
        <v>-11.8</v>
      </c>
      <c r="T11" s="3" t="inlineStr">
        <is>
          <t>否</t>
        </is>
      </c>
      <c r="U11" s="3" t="inlineStr">
        <is>
          <t>不判</t>
        </is>
      </c>
      <c r="V11" s="4">
        <v>-12.26</v>
      </c>
      <c r="W11" s="3" t="inlineStr">
        <is>
          <t>系統：Yahoo Finance 日線</t>
        </is>
      </c>
      <c r="X11" s="3" t="inlineStr">
        <is>
          <t>系統</t>
        </is>
      </c>
      <c r="Y11" s="3" t="inlineStr">
        <is>
          <t>2026-10-17</t>
        </is>
      </c>
      <c r="Z11" s="6"/>
      <c r="AA11" s="6"/>
      <c r="AB11" s="6"/>
      <c r="AC11" t="str">
        <f>IF(Z11="","",IF(Q11="","系統尚未結算",IF(ROUND(ABS(Z11/Q11-1)*100,6)&lt;=0.5,"一致","不一致")))</f>
        <v/>
      </c>
      <c r="AD11" s="3"/>
      <c r="AE11" s="3" t="inlineStr">
        <is>
          <t>過去美國半導體（SOXX）波動屬「高」時，5 個交易日（約1週）後的漲跌中位數 +0.5%，一半的情況落在 −3.5%～+4.3%，上漲機率 53%（約 421 段獨立樣本）。上漲機率介於 45%～55% 之間，不做方向判斷。走步回測（只算起始日前已到期的決策）方向命中 59%（295 次判定）、永遠猜漲 59%、永遠猜跌 41%，和永遠猜漲一樣準，沒有比較準；預測區間實際涵蓋 50%（理想約 50%）。趨勢多頭、動能強、VIX 15（第 35 分位）只記錄、不參與預測（2008 年起的走步研究裡它們對漲跌沒有預測力）。</t>
        </is>
      </c>
      <c r="AF11" s="3" t="inlineStr">
        <is>
          <t>https://finance.yahoo.com/quote/SOXX/history</t>
        </is>
      </c>
    </row>
    <row r="12">
      <c r="A12" s="3" t="inlineStr">
        <is>
          <t>2026-W42-SPY-H5</t>
        </is>
      </c>
      <c r="B12" s="3" t="inlineStr">
        <is>
          <t>美股 S&amp;P 500</t>
        </is>
      </c>
      <c r="C12" s="3" t="inlineStr">
        <is>
          <t>SPY</t>
        </is>
      </c>
      <c r="D12" s="3" t="inlineStr">
        <is>
          <t>00646.TW</t>
        </is>
      </c>
      <c r="E12" s="3" t="inlineStr">
        <is>
          <t>1週（5 交易日）</t>
        </is>
      </c>
      <c r="F12" s="3" t="inlineStr">
        <is>
          <t>短線</t>
        </is>
      </c>
      <c r="G12" s="3" t="inlineStr">
        <is>
          <t>2026-10-09</t>
        </is>
      </c>
      <c r="H12" s="3">
        <v>778.57</v>
      </c>
      <c r="I12" s="3" t="inlineStr">
        <is>
          <t>2026-10-16</t>
        </is>
      </c>
      <c r="J12" s="4">
        <v>0.29</v>
      </c>
      <c r="K12" s="4">
        <v>-0.55</v>
      </c>
      <c r="L12" s="4">
        <v>1.1</v>
      </c>
      <c r="M12" s="4">
        <v>59.52</v>
      </c>
      <c r="N12" s="3" t="inlineStr">
        <is>
          <t>偏漲</t>
        </is>
      </c>
      <c r="O12" s="3" t="inlineStr">
        <is>
          <t>已結算</t>
        </is>
      </c>
      <c r="P12" s="3" t="inlineStr">
        <is>
          <t>2026-10-16</t>
        </is>
      </c>
      <c r="Q12" s="3">
        <v>763.25</v>
      </c>
      <c r="R12" s="3">
        <v>0.0</v>
      </c>
      <c r="S12" s="4">
        <v>-1.97</v>
      </c>
      <c r="T12" s="3" t="inlineStr">
        <is>
          <t>否</t>
        </is>
      </c>
      <c r="U12" s="3" t="inlineStr">
        <is>
          <t>錯</t>
        </is>
      </c>
      <c r="V12" s="4">
        <v>-2.26</v>
      </c>
      <c r="W12" s="3" t="inlineStr">
        <is>
          <t>系統：Yahoo Finance 日線</t>
        </is>
      </c>
      <c r="X12" s="3" t="inlineStr">
        <is>
          <t>系統</t>
        </is>
      </c>
      <c r="Y12" s="3" t="inlineStr">
        <is>
          <t>2026-10-17</t>
        </is>
      </c>
      <c r="Z12" s="6"/>
      <c r="AA12" s="6"/>
      <c r="AB12" s="6"/>
      <c r="AC12" t="str">
        <f>IF(Z12="","",IF(Q12="","系統尚未結算",IF(ROUND(ABS(Z12/Q12-1)*100,6)&lt;=0.5,"一致","不一致")))</f>
        <v/>
      </c>
      <c r="AD12" s="3"/>
      <c r="AE12" s="3" t="inlineStr">
        <is>
          <t>過去美股 S&amp;P 500（SPY）波動屬「低」時，5 個交易日（約1週）後的漲跌中位數 +0.3%，一半的情況落在 −0.6%～+1.1%，上漲機率 60%（約 560 段獨立樣本）。判定偏漲，主要反映長期上漲傾向，不是當下訊號。走步回測（只算起始日前已到期的決策）方向命中 61%（865 次判定）、永遠猜漲 61%、永遠猜跌 39%，和永遠猜漲一樣準，沒有比較準；預測區間實際涵蓋 50%（理想約 50%）。趨勢多頭、動能中、VIX 15（第 35 分位）只記錄、不參與預測（2008 年起的走步研究裡它們對漲跌沒有預測力）。</t>
        </is>
      </c>
      <c r="AF12" s="3" t="inlineStr">
        <is>
          <t>https://finance.yahoo.com/quote/SPY/history</t>
        </is>
      </c>
    </row>
    <row r="13">
      <c r="A13" s="3" t="inlineStr">
        <is>
          <t>2026-W42-QQQ-H5</t>
        </is>
      </c>
      <c r="B13" s="3" t="inlineStr">
        <is>
          <t>那斯達克 100</t>
        </is>
      </c>
      <c r="C13" s="3" t="inlineStr">
        <is>
          <t>QQQ</t>
        </is>
      </c>
      <c r="D13" s="3" t="inlineStr">
        <is>
          <t>00662.TW</t>
        </is>
      </c>
      <c r="E13" s="3" t="inlineStr">
        <is>
          <t>1週（5 交易日）</t>
        </is>
      </c>
      <c r="F13" s="3" t="inlineStr">
        <is>
          <t>短線</t>
        </is>
      </c>
      <c r="G13" s="3" t="inlineStr">
        <is>
          <t>2026-10-09</t>
        </is>
      </c>
      <c r="H13" s="3">
        <v>751.27</v>
      </c>
      <c r="I13" s="3" t="inlineStr">
        <is>
          <t>2026-10-16</t>
        </is>
      </c>
      <c r="J13" s="4">
        <v>0.72</v>
      </c>
      <c r="K13" s="4">
        <v>-1.15</v>
      </c>
      <c r="L13" s="4">
        <v>2.17</v>
      </c>
      <c r="M13" s="4">
        <v>61.08</v>
      </c>
      <c r="N13" s="3" t="inlineStr">
        <is>
          <t>偏漲</t>
        </is>
      </c>
      <c r="O13" s="3" t="inlineStr">
        <is>
          <t>已結算</t>
        </is>
      </c>
      <c r="P13" s="3" t="inlineStr">
        <is>
          <t>2026-10-16</t>
        </is>
      </c>
      <c r="Q13" s="3">
        <v>709.8</v>
      </c>
      <c r="R13" s="3">
        <v>0.0</v>
      </c>
      <c r="S13" s="4">
        <v>-5.52</v>
      </c>
      <c r="T13" s="3" t="inlineStr">
        <is>
          <t>否</t>
        </is>
      </c>
      <c r="U13" s="3" t="inlineStr">
        <is>
          <t>錯</t>
        </is>
      </c>
      <c r="V13" s="4">
        <v>-6.24</v>
      </c>
      <c r="W13" s="3" t="inlineStr">
        <is>
          <t>系統：Yahoo Finance 日線</t>
        </is>
      </c>
      <c r="X13" s="3" t="inlineStr">
        <is>
          <t>系統</t>
        </is>
      </c>
      <c r="Y13" s="3" t="inlineStr">
        <is>
          <t>2026-10-17</t>
        </is>
      </c>
      <c r="Z13" s="6"/>
      <c r="AA13" s="6"/>
      <c r="AB13" s="6"/>
      <c r="AC13" t="str">
        <f>IF(Z13="","",IF(Q13="","系統尚未結算",IF(ROUND(ABS(Z13/Q13-1)*100,6)&lt;=0.5,"一致","不一致")))</f>
        <v/>
      </c>
      <c r="AD13" s="3"/>
      <c r="AE13" s="3" t="inlineStr">
        <is>
          <t>過去那斯達克 100（QQQ）波動屬「中」時，5 個交易日（約1週）後的漲跌中位數 +0.7%，一半的情況落在 −1.1%～+2.2%，上漲機率 61%（約 460 段獨立樣本）。判定偏漲，主要反映長期上漲傾向，不是當下訊號。走步回測（只算起始日前已到期的決策）方向命中 61%（776 次判定）、永遠猜漲 60%、永遠猜跌 40%，和永遠猜漲一樣準，沒有比較準；預測區間實際涵蓋 51%（理想約 50%）。趨勢多頭、動能強、VIX 15（第 35 分位）只記錄、不參與預測（2008 年起的走步研究裡它們對漲跌沒有預測力）。</t>
        </is>
      </c>
      <c r="AF13" s="3" t="inlineStr">
        <is>
          <t>https://finance.yahoo.com/quote/QQQ/history</t>
        </is>
      </c>
    </row>
    <row r="14">
      <c r="A14" s="3" t="inlineStr">
        <is>
          <t>2026-W42-EWJ-H5</t>
        </is>
      </c>
      <c r="B14" s="3" t="inlineStr">
        <is>
          <t>日股</t>
        </is>
      </c>
      <c r="C14" s="3" t="inlineStr">
        <is>
          <t>EWJ</t>
        </is>
      </c>
      <c r="D14" s="3" t="inlineStr">
        <is>
          <t>00645.TW</t>
        </is>
      </c>
      <c r="E14" s="3" t="inlineStr">
        <is>
          <t>1週（5 交易日）</t>
        </is>
      </c>
      <c r="F14" s="3" t="inlineStr">
        <is>
          <t>短線</t>
        </is>
      </c>
      <c r="G14" s="3" t="inlineStr">
        <is>
          <t>2026-10-09</t>
        </is>
      </c>
      <c r="H14" s="3">
        <v>97.86</v>
      </c>
      <c r="I14" s="3" t="inlineStr">
        <is>
          <t>2026-10-16</t>
        </is>
      </c>
      <c r="J14" s="4">
        <v>0.18</v>
      </c>
      <c r="K14" s="4">
        <v>-1.42</v>
      </c>
      <c r="L14" s="4">
        <v>1.77</v>
      </c>
      <c r="M14" s="4">
        <v>52.24</v>
      </c>
      <c r="N14" s="3" t="inlineStr">
        <is>
          <t>不確定</t>
        </is>
      </c>
      <c r="O14" s="3" t="inlineStr">
        <is>
          <t>已結算</t>
        </is>
      </c>
      <c r="P14" s="3" t="inlineStr">
        <is>
          <t>2026-10-16</t>
        </is>
      </c>
      <c r="Q14" s="3">
        <v>94.88</v>
      </c>
      <c r="R14" s="3">
        <v>0.0</v>
      </c>
      <c r="S14" s="4">
        <v>-3.05</v>
      </c>
      <c r="T14" s="3" t="inlineStr">
        <is>
          <t>否</t>
        </is>
      </c>
      <c r="U14" s="3" t="inlineStr">
        <is>
          <t>不判</t>
        </is>
      </c>
      <c r="V14" s="4">
        <v>-3.23</v>
      </c>
      <c r="W14" s="3" t="inlineStr">
        <is>
          <t>系統：Yahoo Finance 日線</t>
        </is>
      </c>
      <c r="X14" s="3" t="inlineStr">
        <is>
          <t>系統</t>
        </is>
      </c>
      <c r="Y14" s="3" t="inlineStr">
        <is>
          <t>2026-10-17</t>
        </is>
      </c>
      <c r="Z14" s="6"/>
      <c r="AA14" s="6"/>
      <c r="AB14" s="6"/>
      <c r="AC14" t="str">
        <f>IF(Z14="","",IF(Q14="","系統尚未結算",IF(ROUND(ABS(Z14/Q14-1)*100,6)&lt;=0.5,"一致","不一致")))</f>
        <v/>
      </c>
      <c r="AD14" s="3"/>
      <c r="AE14" s="3" t="inlineStr">
        <is>
          <t>過去日股（EWJ）波動屬「中」時，5 個交易日（約1週）後的漲跌中位數 +0.2%，一半的情況落在 −1.4%～+1.8%，上漲機率 52%（約 509 段獨立樣本）。上漲機率介於 45%～55% 之間，不做方向判斷。走步回測（只算起始日前已到期的決策）方向命中 45%（22 次判定）、永遠猜漲 55%、永遠猜跌 45%，還不如永遠猜漲（差 9 個百分點）；預測區間實際涵蓋 55%（理想約 50%）。趨勢多頭、動能中、VIX 15（第 35 分位）只記錄、不參與預測（2008 年起的走步研究裡它們對漲跌沒有預測力）。</t>
        </is>
      </c>
      <c r="AF14" s="3" t="inlineStr">
        <is>
          <t>https://finance.yahoo.com/quote/EWJ/history</t>
        </is>
      </c>
    </row>
    <row r="15">
      <c r="A15" s="3" t="inlineStr">
        <is>
          <t>2026-W42-EWH-H5</t>
        </is>
      </c>
      <c r="B15" s="3" t="inlineStr">
        <is>
          <t>港股</t>
        </is>
      </c>
      <c r="C15" s="3" t="inlineStr">
        <is>
          <t>EWH</t>
        </is>
      </c>
      <c r="D15" s="3" t="inlineStr">
        <is>
          <t>無</t>
        </is>
      </c>
      <c r="E15" s="3" t="inlineStr">
        <is>
          <t>1週（5 交易日）</t>
        </is>
      </c>
      <c r="F15" s="3" t="inlineStr">
        <is>
          <t>短線</t>
        </is>
      </c>
      <c r="G15" s="3" t="inlineStr">
        <is>
          <t>2026-10-09</t>
        </is>
      </c>
      <c r="H15" s="3">
        <v>22.06</v>
      </c>
      <c r="I15" s="3" t="inlineStr">
        <is>
          <t>2026-10-16</t>
        </is>
      </c>
      <c r="J15" s="4">
        <v>0.13</v>
      </c>
      <c r="K15" s="4">
        <v>-1.75</v>
      </c>
      <c r="L15" s="4">
        <v>1.84</v>
      </c>
      <c r="M15" s="4">
        <v>51.35</v>
      </c>
      <c r="N15" s="3" t="inlineStr">
        <is>
          <t>不確定</t>
        </is>
      </c>
      <c r="O15" s="3" t="inlineStr">
        <is>
          <t>已結算</t>
        </is>
      </c>
      <c r="P15" s="3" t="inlineStr">
        <is>
          <t>2026-10-16</t>
        </is>
      </c>
      <c r="Q15" s="3">
        <v>22.09</v>
      </c>
      <c r="R15" s="3">
        <v>0.0</v>
      </c>
      <c r="S15" s="4">
        <v>0.14</v>
      </c>
      <c r="T15" s="3" t="inlineStr">
        <is>
          <t>是</t>
        </is>
      </c>
      <c r="U15" s="3" t="inlineStr">
        <is>
          <t>不判</t>
        </is>
      </c>
      <c r="V15" s="4">
        <v>0.01</v>
      </c>
      <c r="W15" s="3" t="inlineStr">
        <is>
          <t>系統：Yahoo Finance 日線</t>
        </is>
      </c>
      <c r="X15" s="3" t="inlineStr">
        <is>
          <t>系統</t>
        </is>
      </c>
      <c r="Y15" s="3" t="inlineStr">
        <is>
          <t>2026-10-17</t>
        </is>
      </c>
      <c r="Z15" s="6"/>
      <c r="AA15" s="6"/>
      <c r="AB15" s="6"/>
      <c r="AC15" t="str">
        <f>IF(Z15="","",IF(Q15="","系統尚未結算",IF(ROUND(ABS(Z15/Q15-1)*100,6)&lt;=0.5,"一致","不一致")))</f>
        <v/>
      </c>
      <c r="AD15" s="3"/>
      <c r="AE15" s="3" t="inlineStr">
        <is>
          <t>過去港股（EWH）波動屬「中」時，5 個交易日（約1週）後的漲跌中位數 +0.1%，一半的情況落在 −1.8%～+1.8%，上漲機率 51%（約 509 段獨立樣本）。上漲機率介於 45%～55% 之間，不做方向判斷。走步回測（只算起始日前已到期的決策）方向命中 54%（481 次判定）、永遠猜漲 54%、永遠猜跌 46%，和永遠猜漲一樣準，沒有比較準；預測區間實際涵蓋 49%（理想約 50%）。趨勢盤整、動能弱、VIX 15（第 35 分位）只記錄、不參與預測（2008 年起的走步研究裡它們對漲跌沒有預測力）。</t>
        </is>
      </c>
      <c r="AF15" s="3" t="inlineStr">
        <is>
          <t>https://finance.yahoo.com/quote/EWH/history</t>
        </is>
      </c>
    </row>
    <row r="16">
      <c r="A16" s="3" t="inlineStr">
        <is>
          <t>2026-W42-USO-H5</t>
        </is>
      </c>
      <c r="B16" s="3" t="inlineStr">
        <is>
          <t>原油</t>
        </is>
      </c>
      <c r="C16" s="3" t="inlineStr">
        <is>
          <t>USO</t>
        </is>
      </c>
      <c r="D16" s="3" t="inlineStr">
        <is>
          <t>00642U.TW</t>
        </is>
      </c>
      <c r="E16" s="3" t="inlineStr">
        <is>
          <t>1週（5 交易日）</t>
        </is>
      </c>
      <c r="F16" s="3" t="inlineStr">
        <is>
          <t>短線</t>
        </is>
      </c>
      <c r="G16" s="3" t="inlineStr">
        <is>
          <t>2026-10-09</t>
        </is>
      </c>
      <c r="H16" s="3">
        <v>148.2</v>
      </c>
      <c r="I16" s="3" t="inlineStr">
        <is>
          <t>2026-10-16</t>
        </is>
      </c>
      <c r="J16" s="4">
        <v>0.3</v>
      </c>
      <c r="K16" s="4">
        <v>-4.01</v>
      </c>
      <c r="L16" s="4">
        <v>4.09</v>
      </c>
      <c r="M16" s="4">
        <v>52.17</v>
      </c>
      <c r="N16" s="3" t="inlineStr">
        <is>
          <t>不確定</t>
        </is>
      </c>
      <c r="O16" s="3" t="inlineStr">
        <is>
          <t>已結算</t>
        </is>
      </c>
      <c r="P16" s="3" t="inlineStr">
        <is>
          <t>2026-10-16</t>
        </is>
      </c>
      <c r="Q16" s="3">
        <v>161.76</v>
      </c>
      <c r="R16" s="3">
        <v>0.0</v>
      </c>
      <c r="S16" s="4">
        <v>9.15</v>
      </c>
      <c r="T16" s="3" t="inlineStr">
        <is>
          <t>否</t>
        </is>
      </c>
      <c r="U16" s="3" t="inlineStr">
        <is>
          <t>不判</t>
        </is>
      </c>
      <c r="V16" s="4">
        <v>8.85</v>
      </c>
      <c r="W16" s="3" t="inlineStr">
        <is>
          <t>系統：Yahoo Finance 日線</t>
        </is>
      </c>
      <c r="X16" s="3" t="inlineStr">
        <is>
          <t>系統</t>
        </is>
      </c>
      <c r="Y16" s="3" t="inlineStr">
        <is>
          <t>2026-10-17</t>
        </is>
      </c>
      <c r="Z16" s="6"/>
      <c r="AA16" s="6"/>
      <c r="AB16" s="6"/>
      <c r="AC16" t="str">
        <f>IF(Z16="","",IF(Q16="","系統尚未結算",IF(ROUND(ABS(Z16/Q16-1)*100,6)&lt;=0.5,"一致","不一致")))</f>
        <v/>
      </c>
      <c r="AD16" s="3"/>
      <c r="AE16" s="3" t="inlineStr">
        <is>
          <t>過去原油（USO）波動屬「高」時，5 個交易日（約1週）後的漲跌中位數 +0.3%，一半的情況落在 −4.0%～+4.1%，上漲機率 52%（約 341 段獨立樣本）。上漲機率介於 45%～55% 之間，不做方向判斷。走步回測（只算起始日前已到期的決策）方向命中 44%（16 次判定）、永遠猜漲 44%、永遠猜跌 56%，還不如永遠猜跌（差 12 個百分點）；預測區間實際涵蓋 51%（理想約 50%）。趨勢多頭、動能弱、VIX 15（第 35 分位）只記錄、不參與預測（2008 年起的走步研究裡它們對漲跌沒有預測力）。</t>
        </is>
      </c>
      <c r="AF16" s="3" t="inlineStr">
        <is>
          <t>https://finance.yahoo.com/quote/USO/history</t>
        </is>
      </c>
    </row>
    <row r="17">
      <c r="A17" s="3" t="inlineStr">
        <is>
          <t>2026-W42-UNG-H5</t>
        </is>
      </c>
      <c r="B17" s="3" t="inlineStr">
        <is>
          <t>天然氣</t>
        </is>
      </c>
      <c r="C17" s="3" t="inlineStr">
        <is>
          <t>UNG</t>
        </is>
      </c>
      <c r="D17" s="3" t="inlineStr">
        <is>
          <t>無</t>
        </is>
      </c>
      <c r="E17" s="3" t="inlineStr">
        <is>
          <t>1週（5 交易日）</t>
        </is>
      </c>
      <c r="F17" s="3" t="inlineStr">
        <is>
          <t>短線</t>
        </is>
      </c>
      <c r="G17" s="3" t="inlineStr">
        <is>
          <t>2026-10-09</t>
        </is>
      </c>
      <c r="H17" s="3">
        <v>11.01</v>
      </c>
      <c r="I17" s="3" t="inlineStr">
        <is>
          <t>2026-10-16</t>
        </is>
      </c>
      <c r="J17" s="4">
        <v>-0.34</v>
      </c>
      <c r="K17" s="4">
        <v>-4.45</v>
      </c>
      <c r="L17" s="4">
        <v>3.88</v>
      </c>
      <c r="M17" s="4">
        <v>47.66</v>
      </c>
      <c r="N17" s="3" t="inlineStr">
        <is>
          <t>不確定</t>
        </is>
      </c>
      <c r="O17" s="3" t="inlineStr">
        <is>
          <t>已結算</t>
        </is>
      </c>
      <c r="P17" s="3" t="inlineStr">
        <is>
          <t>2026-10-16</t>
        </is>
      </c>
      <c r="Q17" s="3">
        <v>10.66</v>
      </c>
      <c r="R17" s="3">
        <v>0.0</v>
      </c>
      <c r="S17" s="4">
        <v>-3.18</v>
      </c>
      <c r="T17" s="3" t="inlineStr">
        <is>
          <t>是</t>
        </is>
      </c>
      <c r="U17" s="3" t="inlineStr">
        <is>
          <t>不判</t>
        </is>
      </c>
      <c r="V17" s="4">
        <v>-2.84</v>
      </c>
      <c r="W17" s="3" t="inlineStr">
        <is>
          <t>系統：Yahoo Finance 日線</t>
        </is>
      </c>
      <c r="X17" s="3" t="inlineStr">
        <is>
          <t>系統</t>
        </is>
      </c>
      <c r="Y17" s="3" t="inlineStr">
        <is>
          <t>2026-10-17</t>
        </is>
      </c>
      <c r="Z17" s="6"/>
      <c r="AA17" s="6"/>
      <c r="AB17" s="6"/>
      <c r="AC17" t="str">
        <f>IF(Z17="","",IF(Q17="","系統尚未結算",IF(ROUND(ABS(Z17/Q17-1)*100,6)&lt;=0.5,"一致","不一致")))</f>
        <v/>
      </c>
      <c r="AD17" s="3"/>
      <c r="AE17" s="3" t="inlineStr">
        <is>
          <t>過去天然氣（UNG）波動屬「中」時，5 個交易日（約1週）後的漲跌中位數 −0.3%，一半的情況落在 −4.5%～+3.9%，上漲機率 48%（約 324 段獨立樣本）。上漲機率介於 45%～55% 之間，不做方向判斷。走步回測（只算起始日前已到期的決策）方向命中 54%（431 次判定）、永遠猜漲 46%、永遠猜跌 54%，還不如永遠猜跌（差 1 個百分點）；預測區間實際涵蓋 52%（理想約 50%）。趨勢空頭、動能強、VIX 15（第 35 分位）只記錄、不參與預測（2008 年起的走步研究裡它們對漲跌沒有預測力）。</t>
        </is>
      </c>
      <c r="AF17" s="3" t="inlineStr">
        <is>
          <t>https://finance.yahoo.com/quote/UNG/history</t>
        </is>
      </c>
    </row>
    <row r="18">
      <c r="A18" s="3" t="inlineStr">
        <is>
          <t>2026-W42-CPER-H5</t>
        </is>
      </c>
      <c r="B18" s="3" t="inlineStr">
        <is>
          <t>銅</t>
        </is>
      </c>
      <c r="C18" s="3" t="inlineStr">
        <is>
          <t>CPER</t>
        </is>
      </c>
      <c r="D18" s="3" t="inlineStr">
        <is>
          <t>無</t>
        </is>
      </c>
      <c r="E18" s="3" t="inlineStr">
        <is>
          <t>1週（5 交易日）</t>
        </is>
      </c>
      <c r="F18" s="3" t="inlineStr">
        <is>
          <t>短線</t>
        </is>
      </c>
      <c r="G18" s="3" t="inlineStr">
        <is>
          <t>2026-10-09</t>
        </is>
      </c>
      <c r="H18" s="3">
        <v>40.31</v>
      </c>
      <c r="I18" s="3" t="inlineStr">
        <is>
          <t>2026-10-16</t>
        </is>
      </c>
      <c r="J18" s="4">
        <v>-0.04</v>
      </c>
      <c r="K18" s="4">
        <v>-1.94</v>
      </c>
      <c r="L18" s="4">
        <v>1.84</v>
      </c>
      <c r="M18" s="4">
        <v>48.51</v>
      </c>
      <c r="N18" s="3" t="inlineStr">
        <is>
          <t>不確定</t>
        </is>
      </c>
      <c r="O18" s="3" t="inlineStr">
        <is>
          <t>已結算</t>
        </is>
      </c>
      <c r="P18" s="3" t="inlineStr">
        <is>
          <t>2026-10-16</t>
        </is>
      </c>
      <c r="Q18" s="3">
        <v>39.5</v>
      </c>
      <c r="R18" s="3">
        <v>0.0</v>
      </c>
      <c r="S18" s="4">
        <v>-2.01</v>
      </c>
      <c r="T18" s="3" t="inlineStr">
        <is>
          <t>否</t>
        </is>
      </c>
      <c r="U18" s="3" t="inlineStr">
        <is>
          <t>不判</t>
        </is>
      </c>
      <c r="V18" s="4">
        <v>-1.97</v>
      </c>
      <c r="W18" s="3" t="inlineStr">
        <is>
          <t>系統：Yahoo Finance 日線</t>
        </is>
      </c>
      <c r="X18" s="3" t="inlineStr">
        <is>
          <t>系統</t>
        </is>
      </c>
      <c r="Y18" s="3" t="inlineStr">
        <is>
          <t>2026-10-17</t>
        </is>
      </c>
      <c r="Z18" s="6"/>
      <c r="AA18" s="6"/>
      <c r="AB18" s="6"/>
      <c r="AC18" t="str">
        <f>IF(Z18="","",IF(Q18="","系統尚未結算",IF(ROUND(ABS(Z18/Q18-1)*100,6)&lt;=0.5,"一致","不一致")))</f>
        <v/>
      </c>
      <c r="AD18" s="3"/>
      <c r="AE18" s="3" t="inlineStr">
        <is>
          <t>過去銅（CPER）波動屬「中」時，5 個交易日（約1週）後的漲跌中位數 0.0%，一半的情況落在 −1.9%～+1.8%，上漲機率 49%（約 248 段獨立樣本）。上漲機率介於 45%～55% 之間，不做方向判斷。走步回測（只算起始日前已到期的決策）方向命中 46%（111 次判定）、永遠猜漲 53%、永遠猜跌 47%，還不如永遠猜漲（差 7 個百分點）；預測區間實際涵蓋 47%（理想約 50%）。趨勢多頭、動能強、VIX 15（第 35 分位）只記錄、不參與預測（2008 年起的走步研究裡它們對漲跌沒有預測力）。</t>
        </is>
      </c>
      <c r="AF18" s="3" t="inlineStr">
        <is>
          <t>https://finance.yahoo.com/quote/CPER/history</t>
        </is>
      </c>
    </row>
    <row r="19">
      <c r="A19" s="3" t="inlineStr">
        <is>
          <t>2026-W42-SLV-H5</t>
        </is>
      </c>
      <c r="B19" s="3" t="inlineStr">
        <is>
          <t>白銀</t>
        </is>
      </c>
      <c r="C19" s="3" t="inlineStr">
        <is>
          <t>SLV</t>
        </is>
      </c>
      <c r="D19" s="3" t="inlineStr">
        <is>
          <t>無</t>
        </is>
      </c>
      <c r="E19" s="3" t="inlineStr">
        <is>
          <t>1週（5 交易日）</t>
        </is>
      </c>
      <c r="F19" s="3" t="inlineStr">
        <is>
          <t>短線</t>
        </is>
      </c>
      <c r="G19" s="3" t="inlineStr">
        <is>
          <t>2026-10-09</t>
        </is>
      </c>
      <c r="H19" s="3">
        <v>54.78</v>
      </c>
      <c r="I19" s="3" t="inlineStr">
        <is>
          <t>2026-10-16</t>
        </is>
      </c>
      <c r="J19" s="4">
        <v>0.51</v>
      </c>
      <c r="K19" s="4">
        <v>-2.77</v>
      </c>
      <c r="L19" s="4">
        <v>4.05</v>
      </c>
      <c r="M19" s="4">
        <v>54.11</v>
      </c>
      <c r="N19" s="3" t="inlineStr">
        <is>
          <t>不確定</t>
        </is>
      </c>
      <c r="O19" s="3" t="inlineStr">
        <is>
          <t>已結算</t>
        </is>
      </c>
      <c r="P19" s="3" t="inlineStr">
        <is>
          <t>2026-10-16</t>
        </is>
      </c>
      <c r="Q19" s="3">
        <v>51.51</v>
      </c>
      <c r="R19" s="3">
        <v>0.0</v>
      </c>
      <c r="S19" s="4">
        <v>-5.97</v>
      </c>
      <c r="T19" s="3" t="inlineStr">
        <is>
          <t>否</t>
        </is>
      </c>
      <c r="U19" s="3" t="inlineStr">
        <is>
          <t>不判</t>
        </is>
      </c>
      <c r="V19" s="4">
        <v>-6.48</v>
      </c>
      <c r="W19" s="3" t="inlineStr">
        <is>
          <t>系統：Yahoo Finance 日線</t>
        </is>
      </c>
      <c r="X19" s="3" t="inlineStr">
        <is>
          <t>系統</t>
        </is>
      </c>
      <c r="Y19" s="3" t="inlineStr">
        <is>
          <t>2026-10-17</t>
        </is>
      </c>
      <c r="Z19" s="6"/>
      <c r="AA19" s="6"/>
      <c r="AB19" s="6"/>
      <c r="AC19" t="str">
        <f>IF(Z19="","",IF(Q19="","系統尚未結算",IF(ROUND(ABS(Z19/Q19-1)*100,6)&lt;=0.5,"一致","不一致")))</f>
        <v/>
      </c>
      <c r="AD19" s="3"/>
      <c r="AE19" s="3" t="inlineStr">
        <is>
          <t>過去白銀（SLV）波動屬「高」時，5 個交易日（約1週）後的漲跌中位數 +0.5%，一半的情況落在 −2.8%～+4.0%，上漲機率 54%（約 340 段獨立樣本）。上漲機率介於 45%～55% 之間，不做方向判斷。走步回測（只算起始日前已到期的決策）方向命中 49%（163 次判定）、永遠猜漲 49%、永遠猜跌 51%，還不如永遠猜跌（差 2 個百分點）；預測區間實際涵蓋 54%（理想約 50%）。趨勢空頭、動能弱、VIX 15（第 35 分位）只記錄、不參與預測（2008 年起的走步研究裡它們對漲跌沒有預測力）。</t>
        </is>
      </c>
      <c r="AF19" s="3" t="inlineStr">
        <is>
          <t>https://finance.yahoo.com/quote/SLV/history</t>
        </is>
      </c>
    </row>
    <row r="20">
      <c r="A20" s="3" t="inlineStr">
        <is>
          <t>2026-W42-PPLT-H5</t>
        </is>
      </c>
      <c r="B20" s="3" t="inlineStr">
        <is>
          <t>白金</t>
        </is>
      </c>
      <c r="C20" s="3" t="inlineStr">
        <is>
          <t>PPLT</t>
        </is>
      </c>
      <c r="D20" s="3" t="inlineStr">
        <is>
          <t>無</t>
        </is>
      </c>
      <c r="E20" s="3" t="inlineStr">
        <is>
          <t>1週（5 交易日）</t>
        </is>
      </c>
      <c r="F20" s="3" t="inlineStr">
        <is>
          <t>短線</t>
        </is>
      </c>
      <c r="G20" s="3" t="inlineStr">
        <is>
          <t>2026-10-09</t>
        </is>
      </c>
      <c r="H20" s="3">
        <v>15.25</v>
      </c>
      <c r="I20" s="3" t="inlineStr">
        <is>
          <t>2026-10-16</t>
        </is>
      </c>
      <c r="J20" s="4">
        <v>0.34</v>
      </c>
      <c r="K20" s="4">
        <v>-2.09</v>
      </c>
      <c r="L20" s="4">
        <v>2.89</v>
      </c>
      <c r="M20" s="4">
        <v>54.09</v>
      </c>
      <c r="N20" s="3" t="inlineStr">
        <is>
          <t>不確定</t>
        </is>
      </c>
      <c r="O20" s="3" t="inlineStr">
        <is>
          <t>已結算</t>
        </is>
      </c>
      <c r="P20" s="3" t="inlineStr">
        <is>
          <t>2026-10-16</t>
        </is>
      </c>
      <c r="Q20" s="3">
        <v>14.75</v>
      </c>
      <c r="R20" s="3">
        <v>0.0</v>
      </c>
      <c r="S20" s="4">
        <v>-3.28</v>
      </c>
      <c r="T20" s="3" t="inlineStr">
        <is>
          <t>否</t>
        </is>
      </c>
      <c r="U20" s="3" t="inlineStr">
        <is>
          <t>不判</t>
        </is>
      </c>
      <c r="V20" s="4">
        <v>-3.62</v>
      </c>
      <c r="W20" s="3" t="inlineStr">
        <is>
          <t>系統：Yahoo Finance 日線</t>
        </is>
      </c>
      <c r="X20" s="3" t="inlineStr">
        <is>
          <t>系統</t>
        </is>
      </c>
      <c r="Y20" s="3" t="inlineStr">
        <is>
          <t>2026-10-17</t>
        </is>
      </c>
      <c r="Z20" s="6"/>
      <c r="AA20" s="6"/>
      <c r="AB20" s="6"/>
      <c r="AC20" t="str">
        <f>IF(Z20="","",IF(Q20="","系統尚未結算",IF(ROUND(ABS(Z20/Q20-1)*100,6)&lt;=0.5,"一致","不一致")))</f>
        <v/>
      </c>
      <c r="AD20" s="3"/>
      <c r="AE20" s="3" t="inlineStr">
        <is>
          <t>過去白金（PPLT）波動屬「高」時，5 個交易日（約1週）後的漲跌中位數 +0.3%，一半的情況落在 −2.1%～+2.9%，上漲機率 54%（約 278 段獨立樣本）。上漲機率介於 45%～55% 之間，不做方向判斷。走步回測（只算起始日前已到期的決策）方向命中 33%（6 次判定）、永遠猜漲 67%、永遠猜跌 33%，還不如永遠猜漲（差 33 個百分點）；預測區間實際涵蓋 48%（理想約 50%）。趨勢空頭、動能弱、VIX 15（第 35 分位）只記錄、不參與預測（2008 年起的走步研究裡它們對漲跌沒有預測力）。</t>
        </is>
      </c>
      <c r="AF20" s="3" t="inlineStr">
        <is>
          <t>https://finance.yahoo.com/quote/PPLT/history</t>
        </is>
      </c>
    </row>
    <row r="21">
      <c r="A21" s="3" t="inlineStr">
        <is>
          <t>2026-W42-DBA-H5</t>
        </is>
      </c>
      <c r="B21" s="3" t="inlineStr">
        <is>
          <t>農產品</t>
        </is>
      </c>
      <c r="C21" s="3" t="inlineStr">
        <is>
          <t>DBA</t>
        </is>
      </c>
      <c r="D21" s="3" t="inlineStr">
        <is>
          <t>無</t>
        </is>
      </c>
      <c r="E21" s="3" t="inlineStr">
        <is>
          <t>1週（5 交易日）</t>
        </is>
      </c>
      <c r="F21" s="3" t="inlineStr">
        <is>
          <t>短線</t>
        </is>
      </c>
      <c r="G21" s="3" t="inlineStr">
        <is>
          <t>2026-10-09</t>
        </is>
      </c>
      <c r="H21" s="3">
        <v>28.33</v>
      </c>
      <c r="I21" s="3" t="inlineStr">
        <is>
          <t>2026-10-16</t>
        </is>
      </c>
      <c r="J21" s="4">
        <v>0.0</v>
      </c>
      <c r="K21" s="4">
        <v>-1.15</v>
      </c>
      <c r="L21" s="4">
        <v>1.19</v>
      </c>
      <c r="M21" s="4">
        <v>49.45</v>
      </c>
      <c r="N21" s="3" t="inlineStr">
        <is>
          <t>不確定</t>
        </is>
      </c>
      <c r="O21" s="3" t="inlineStr">
        <is>
          <t>已結算</t>
        </is>
      </c>
      <c r="P21" s="3" t="inlineStr">
        <is>
          <t>2026-10-16</t>
        </is>
      </c>
      <c r="Q21" s="3">
        <v>28.23</v>
      </c>
      <c r="R21" s="3">
        <v>0.0</v>
      </c>
      <c r="S21" s="4">
        <v>-0.35</v>
      </c>
      <c r="T21" s="3" t="inlineStr">
        <is>
          <t>是</t>
        </is>
      </c>
      <c r="U21" s="3" t="inlineStr">
        <is>
          <t>不判</t>
        </is>
      </c>
      <c r="V21" s="4">
        <v>-0.35</v>
      </c>
      <c r="W21" s="3" t="inlineStr">
        <is>
          <t>系統：Yahoo Finance 日線</t>
        </is>
      </c>
      <c r="X21" s="3" t="inlineStr">
        <is>
          <t>系統</t>
        </is>
      </c>
      <c r="Y21" s="3" t="inlineStr">
        <is>
          <t>2026-10-17</t>
        </is>
      </c>
      <c r="Z21" s="6"/>
      <c r="AA21" s="6"/>
      <c r="AB21" s="6"/>
      <c r="AC21" t="str">
        <f>IF(Z21="","",IF(Q21="","系統尚未結算",IF(ROUND(ABS(Z21/Q21-1)*100,6)&lt;=0.5,"一致","不一致")))</f>
        <v/>
      </c>
      <c r="AD21" s="3"/>
      <c r="AE21" s="3" t="inlineStr">
        <is>
          <t>過去農產品（DBA）波動屬「中」時，5 個交易日（約1週）後的漲跌中位數 0.0%，一半的情況落在 −1.1%～+1.2%，上漲機率 49%（約 330 段獨立樣本）。上漲機率介於 45%～55% 之間，不做方向判斷。走步回測（只算起始日前已到期的決策）方向命中 50%（299 次判定）、永遠猜漲 50%、永遠猜跌 50%，還不如永遠猜漲（差 1 個百分點）；預測區間實際涵蓋 50%（理想約 50%）。趨勢多頭、動能弱、VIX 15（第 35 分位）只記錄、不參與預測（2008 年起的走步研究裡它們對漲跌沒有預測力）。</t>
        </is>
      </c>
      <c r="AF21" s="3" t="inlineStr">
        <is>
          <t>https://finance.yahoo.com/quote/DBA/history</t>
        </is>
      </c>
    </row>
    <row r="22">
      <c r="A22" s="3" t="inlineStr">
        <is>
          <t>2026-W42-MOS-H5</t>
        </is>
      </c>
      <c r="B22" s="3" t="inlineStr">
        <is>
          <t>肥料股</t>
        </is>
      </c>
      <c r="C22" s="3" t="inlineStr">
        <is>
          <t>MOS</t>
        </is>
      </c>
      <c r="D22" s="3" t="inlineStr">
        <is>
          <t>CF／NTR／1722.TW</t>
        </is>
      </c>
      <c r="E22" s="3" t="inlineStr">
        <is>
          <t>1週（5 交易日）</t>
        </is>
      </c>
      <c r="F22" s="3" t="inlineStr">
        <is>
          <t>短線</t>
        </is>
      </c>
      <c r="G22" s="3" t="inlineStr">
        <is>
          <t>2026-10-09</t>
        </is>
      </c>
      <c r="H22" s="3">
        <v>18.74</v>
      </c>
      <c r="I22" s="3" t="inlineStr">
        <is>
          <t>2026-10-16</t>
        </is>
      </c>
      <c r="J22" s="4">
        <v>0.0</v>
      </c>
      <c r="K22" s="4">
        <v>-3.45</v>
      </c>
      <c r="L22" s="4">
        <v>3.49</v>
      </c>
      <c r="M22" s="4">
        <v>49.69</v>
      </c>
      <c r="N22" s="3" t="inlineStr">
        <is>
          <t>不確定</t>
        </is>
      </c>
      <c r="O22" s="3" t="inlineStr">
        <is>
          <t>已結算</t>
        </is>
      </c>
      <c r="P22" s="3" t="inlineStr">
        <is>
          <t>2026-10-16</t>
        </is>
      </c>
      <c r="Q22" s="3">
        <v>18.82</v>
      </c>
      <c r="R22" s="3">
        <v>0.0</v>
      </c>
      <c r="S22" s="4">
        <v>0.43</v>
      </c>
      <c r="T22" s="3" t="inlineStr">
        <is>
          <t>是</t>
        </is>
      </c>
      <c r="U22" s="3" t="inlineStr">
        <is>
          <t>不判</t>
        </is>
      </c>
      <c r="V22" s="4">
        <v>0.43</v>
      </c>
      <c r="W22" s="3" t="inlineStr">
        <is>
          <t>系統：Yahoo Finance 日線</t>
        </is>
      </c>
      <c r="X22" s="3" t="inlineStr">
        <is>
          <t>系統</t>
        </is>
      </c>
      <c r="Y22" s="3" t="inlineStr">
        <is>
          <t>2026-10-17</t>
        </is>
      </c>
      <c r="Z22" s="6"/>
      <c r="AA22" s="6"/>
      <c r="AB22" s="6"/>
      <c r="AC22" t="str">
        <f>IF(Z22="","",IF(Q22="","系統尚未結算",IF(ROUND(ABS(Z22/Q22-1)*100,6)&lt;=0.5,"一致","不一致")))</f>
        <v/>
      </c>
      <c r="AD22" s="3"/>
      <c r="AE22" s="3" t="inlineStr">
        <is>
          <t>過去肥料股（MOS）波動屬「中」時，5 個交易日（約1週）後的漲跌中位數 0.0%，一半的情況落在 −3.5%～+3.5%，上漲機率 50%（約 615 段獨立樣本）。上漲機率介於 45%～55% 之間，不做方向判斷。走步回測（978 次決策）沒有方向判定可比；預測區間實際涵蓋 49%（理想約 50%）。趨勢空頭、動能弱、VIX 15（第 35 分位）只記錄、不參與預測（2008 年起的走步研究裡它們對漲跌沒有預測力）。</t>
        </is>
      </c>
      <c r="AF22" s="3" t="inlineStr">
        <is>
          <t>https://finance.yahoo.com/quote/MOS/history</t>
        </is>
      </c>
    </row>
    <row r="23">
      <c r="A23" s="3" t="inlineStr">
        <is>
          <t>2026-W42-BRK-B-H5</t>
        </is>
      </c>
      <c r="B23" s="3" t="inlineStr">
        <is>
          <t>波克夏</t>
        </is>
      </c>
      <c r="C23" s="3" t="inlineStr">
        <is>
          <t>BRK-B</t>
        </is>
      </c>
      <c r="D23" s="3" t="inlineStr">
        <is>
          <t>無</t>
        </is>
      </c>
      <c r="E23" s="3" t="inlineStr">
        <is>
          <t>1週（5 交易日）</t>
        </is>
      </c>
      <c r="F23" s="3" t="inlineStr">
        <is>
          <t>短線</t>
        </is>
      </c>
      <c r="G23" s="3" t="inlineStr">
        <is>
          <t>2026-10-09</t>
        </is>
      </c>
      <c r="H23" s="3">
        <v>515.62</v>
      </c>
      <c r="I23" s="3" t="inlineStr">
        <is>
          <t>2026-10-16</t>
        </is>
      </c>
      <c r="J23" s="4">
        <v>0.14</v>
      </c>
      <c r="K23" s="4">
        <v>-0.96</v>
      </c>
      <c r="L23" s="4">
        <v>1.35</v>
      </c>
      <c r="M23" s="4">
        <v>53.2</v>
      </c>
      <c r="N23" s="3" t="inlineStr">
        <is>
          <t>不確定</t>
        </is>
      </c>
      <c r="O23" s="3" t="inlineStr">
        <is>
          <t>已結算</t>
        </is>
      </c>
      <c r="P23" s="3" t="inlineStr">
        <is>
          <t>2026-10-16</t>
        </is>
      </c>
      <c r="Q23" s="3">
        <v>532.02</v>
      </c>
      <c r="R23" s="3">
        <v>0.0</v>
      </c>
      <c r="S23" s="4">
        <v>3.18</v>
      </c>
      <c r="T23" s="3" t="inlineStr">
        <is>
          <t>否</t>
        </is>
      </c>
      <c r="U23" s="3" t="inlineStr">
        <is>
          <t>不判</t>
        </is>
      </c>
      <c r="V23" s="4">
        <v>3.04</v>
      </c>
      <c r="W23" s="3" t="inlineStr">
        <is>
          <t>系統：Yahoo Finance 日線</t>
        </is>
      </c>
      <c r="X23" s="3" t="inlineStr">
        <is>
          <t>系統</t>
        </is>
      </c>
      <c r="Y23" s="3" t="inlineStr">
        <is>
          <t>2026-10-17</t>
        </is>
      </c>
      <c r="Z23" s="6"/>
      <c r="AA23" s="6"/>
      <c r="AB23" s="6"/>
      <c r="AC23" t="str">
        <f>IF(Z23="","",IF(Q23="","系統尚未結算",IF(ROUND(ABS(Z23/Q23-1)*100,6)&lt;=0.5,"一致","不一致")))</f>
        <v/>
      </c>
      <c r="AD23" s="3"/>
      <c r="AE23" s="3" t="inlineStr">
        <is>
          <t>過去波克夏（BRK-B）波動屬「低」時，5 個交易日（約1週）後的漲跌中位數 +0.1%，一半的情況落在 −1.0%～+1.4%，上漲機率 53%（約 505 段獨立樣本）。上漲機率介於 45%～55% 之間，不做方向判斷。走步回測（978 次決策）沒有方向判定可比；預測區間實際涵蓋 50%（理想約 50%）。趨勢多頭、動能中、VIX 15（第 35 分位）只記錄、不參與預測（2008 年起的走步研究裡它們對漲跌沒有預測力）。</t>
        </is>
      </c>
      <c r="AF23" s="3" t="inlineStr">
        <is>
          <t>https://finance.yahoo.com/quote/BRK-B/history</t>
        </is>
      </c>
    </row>
    <row r="24">
      <c r="A24" s="3" t="inlineStr">
        <is>
          <t>2026-W42-TLT-H10</t>
        </is>
      </c>
      <c r="B24" s="3" t="inlineStr">
        <is>
          <t>美國長天期公債</t>
        </is>
      </c>
      <c r="C24" s="3" t="inlineStr">
        <is>
          <t>TLT</t>
        </is>
      </c>
      <c r="D24" s="3" t="inlineStr">
        <is>
          <t>00679B.TWO／00687B.TWO</t>
        </is>
      </c>
      <c r="E24" s="3" t="inlineStr">
        <is>
          <t>2週（10 交易日）</t>
        </is>
      </c>
      <c r="F24" s="3" t="inlineStr">
        <is>
          <t>短線</t>
        </is>
      </c>
      <c r="G24" s="3" t="inlineStr">
        <is>
          <t>2026-10-09</t>
        </is>
      </c>
      <c r="H24" s="3">
        <v>77.98</v>
      </c>
      <c r="I24" s="3" t="inlineStr">
        <is>
          <t>2026-10-23</t>
        </is>
      </c>
      <c r="J24" s="4">
        <v>0.27</v>
      </c>
      <c r="K24" s="4">
        <v>-1.31</v>
      </c>
      <c r="L24" s="4">
        <v>1.67</v>
      </c>
      <c r="M24" s="4">
        <v>54.82</v>
      </c>
      <c r="N24" s="3" t="inlineStr">
        <is>
          <t>不確定</t>
        </is>
      </c>
      <c r="O24" s="3" t="inlineStr">
        <is>
          <t>未到期</t>
        </is>
      </c>
      <c r="P24" s="3"/>
      <c r="Q24" s="3"/>
      <c r="R24" s="3"/>
      <c r="S24" s="4"/>
      <c r="T24" s="3"/>
      <c r="U24" s="3"/>
      <c r="V24" s="4"/>
      <c r="W24" s="3"/>
      <c r="X24" s="3"/>
      <c r="Y24" s="3"/>
      <c r="Z24" s="6"/>
      <c r="AA24" s="6"/>
      <c r="AB24" s="6"/>
      <c r="AC24" t="str">
        <f>IF(Z24="","",IF(Q24="","系統尚未結算",IF(ROUND(ABS(Z24/Q24-1)*100,6)&lt;=0.5,"一致","不一致")))</f>
        <v/>
      </c>
      <c r="AD24" s="3"/>
      <c r="AE24" s="3" t="inlineStr">
        <is>
          <t>過去美國長天期公債（TLT）波動屬「中」時，10 個交易日（約2週）後的漲跌中位數 +0.3%，一半的情況落在 −1.3%～+1.7%，上漲機率 54.8%（約 201 段獨立樣本）。上漲機率介於 45%～55% 之間，不做方向判斷。走步回測（只算起始日前已到期的決策）方向命中 52%（540 次判定，每週決策的 10 日報酬互相重疊，等效約 270 次獨立判定）、永遠猜漲 52%、永遠猜跌 48%，和永遠猜漲一樣準，沒有比較準；預測區間實際涵蓋 48%（理想約 50%）。趨勢空頭、動能弱、VIX 15（第 35 分位）只記錄、不參與預測（2008 年起的走步研究裡它們對漲跌沒有預測力）。</t>
        </is>
      </c>
      <c r="AF24" s="3" t="inlineStr">
        <is>
          <t>https://finance.yahoo.com/quote/TLT/history</t>
        </is>
      </c>
    </row>
    <row r="25">
      <c r="A25" s="3" t="inlineStr">
        <is>
          <t>2026-W42-LQD-H10</t>
        </is>
      </c>
      <c r="B25" s="3" t="inlineStr">
        <is>
          <t>美國投資級公司債</t>
        </is>
      </c>
      <c r="C25" s="3" t="inlineStr">
        <is>
          <t>LQD</t>
        </is>
      </c>
      <c r="D25" s="3" t="inlineStr">
        <is>
          <t>00720B.TWO</t>
        </is>
      </c>
      <c r="E25" s="3" t="inlineStr">
        <is>
          <t>2週（10 交易日）</t>
        </is>
      </c>
      <c r="F25" s="3" t="inlineStr">
        <is>
          <t>短線</t>
        </is>
      </c>
      <c r="G25" s="3" t="inlineStr">
        <is>
          <t>2026-10-09</t>
        </is>
      </c>
      <c r="H25" s="3">
        <v>102.41</v>
      </c>
      <c r="I25" s="3" t="inlineStr">
        <is>
          <t>2026-10-23</t>
        </is>
      </c>
      <c r="J25" s="4">
        <v>0.36</v>
      </c>
      <c r="K25" s="4">
        <v>-0.73</v>
      </c>
      <c r="L25" s="4">
        <v>1.36</v>
      </c>
      <c r="M25" s="4">
        <v>59.65</v>
      </c>
      <c r="N25" s="3" t="inlineStr">
        <is>
          <t>偏漲</t>
        </is>
      </c>
      <c r="O25" s="3" t="inlineStr">
        <is>
          <t>未到期</t>
        </is>
      </c>
      <c r="P25" s="3"/>
      <c r="Q25" s="3"/>
      <c r="R25" s="3"/>
      <c r="S25" s="4"/>
      <c r="T25" s="3"/>
      <c r="U25" s="3"/>
      <c r="V25" s="4"/>
      <c r="W25" s="3"/>
      <c r="X25" s="3"/>
      <c r="Y25" s="3"/>
      <c r="Z25" s="6"/>
      <c r="AA25" s="6"/>
      <c r="AB25" s="6"/>
      <c r="AC25" t="str">
        <f>IF(Z25="","",IF(Q25="","系統尚未結算",IF(ROUND(ABS(Z25/Q25-1)*100,6)&lt;=0.5,"一致","不一致")))</f>
        <v/>
      </c>
      <c r="AD25" s="3"/>
      <c r="AE25" s="3" t="inlineStr">
        <is>
          <t>過去美國投資級公司債（LQD）波動屬「高」時，10 個交易日（約2週）後的漲跌中位數 +0.4%，一半的情況落在 −0.7%～+1.4%，上漲機率 60%（約 201 段獨立樣本）。判定偏漲，主要反映長期上漲傾向，不是當下訊號。走步回測（只算起始日前已到期的決策）方向命中 58%（819 次判定，每週決策的 10 日報酬互相重疊，等效約 410 次獨立判定）、永遠猜漲 58%、永遠猜跌 42%，和永遠猜漲一樣準，沒有比較準；預測區間實際涵蓋 51%（理想約 50%）。趨勢空頭、動能弱、VIX 15（第 35 分位）只記錄、不參與預測（2008 年起的走步研究裡它們對漲跌沒有預測力）。</t>
        </is>
      </c>
      <c r="AF25" s="3" t="inlineStr">
        <is>
          <t>https://finance.yahoo.com/quote/LQD/history</t>
        </is>
      </c>
    </row>
    <row r="26">
      <c r="A26" s="3" t="inlineStr">
        <is>
          <t>2026-W42-HYG-H10</t>
        </is>
      </c>
      <c r="B26" s="3" t="inlineStr">
        <is>
          <t>美國高收益債</t>
        </is>
      </c>
      <c r="C26" s="3" t="inlineStr">
        <is>
          <t>HYG</t>
        </is>
      </c>
      <c r="D26" s="3" t="inlineStr">
        <is>
          <t>00710B.TW</t>
        </is>
      </c>
      <c r="E26" s="3" t="inlineStr">
        <is>
          <t>2週（10 交易日）</t>
        </is>
      </c>
      <c r="F26" s="3" t="inlineStr">
        <is>
          <t>短線</t>
        </is>
      </c>
      <c r="G26" s="3" t="inlineStr">
        <is>
          <t>2026-10-09</t>
        </is>
      </c>
      <c r="H26" s="3">
        <v>77.23</v>
      </c>
      <c r="I26" s="3" t="inlineStr">
        <is>
          <t>2026-10-23</t>
        </is>
      </c>
      <c r="J26" s="4">
        <v>0.19</v>
      </c>
      <c r="K26" s="4">
        <v>-0.3</v>
      </c>
      <c r="L26" s="4">
        <v>0.58</v>
      </c>
      <c r="M26" s="4">
        <v>61.86</v>
      </c>
      <c r="N26" s="3" t="inlineStr">
        <is>
          <t>偏漲</t>
        </is>
      </c>
      <c r="O26" s="3" t="inlineStr">
        <is>
          <t>未到期</t>
        </is>
      </c>
      <c r="P26" s="3"/>
      <c r="Q26" s="3"/>
      <c r="R26" s="3"/>
      <c r="S26" s="4"/>
      <c r="T26" s="3"/>
      <c r="U26" s="3"/>
      <c r="V26" s="4"/>
      <c r="W26" s="3"/>
      <c r="X26" s="3"/>
      <c r="Y26" s="3"/>
      <c r="Z26" s="6"/>
      <c r="AA26" s="6"/>
      <c r="AB26" s="6"/>
      <c r="AC26" t="str">
        <f>IF(Z26="","",IF(Q26="","系統尚未結算",IF(ROUND(ABS(Z26/Q26-1)*100,6)&lt;=0.5,"一致","不一致")))</f>
        <v/>
      </c>
      <c r="AD26" s="3"/>
      <c r="AE26" s="3" t="inlineStr">
        <is>
          <t>過去美國高收益債（HYG）波動屬「低」時，10 個交易日（約2週）後的漲跌中位數 +0.2%，一半的情況落在 −0.3%～+0.6%，上漲機率 62%（約 161 段獨立樣本）。判定偏漲，主要反映長期上漲傾向，不是當下訊號。走步回測（只算起始日前已到期的決策）方向命中 63%（809 次判定，每週決策的 10 日報酬互相重疊，等效約 404 次獨立判定）、永遠猜漲 63%、永遠猜跌 37%，和永遠猜漲一樣準，沒有比較準；預測區間實際涵蓋 58%（理想約 50%）。趨勢盤整、動能弱、VIX 15（第 35 分位）只記錄、不參與預測（2008 年起的走步研究裡它們對漲跌沒有預測力）。</t>
        </is>
      </c>
      <c r="AF26" s="3" t="inlineStr">
        <is>
          <t>https://finance.yahoo.com/quote/HYG/history</t>
        </is>
      </c>
    </row>
    <row r="27">
      <c r="A27" s="3" t="inlineStr">
        <is>
          <t>2026-W42-GLD-H10</t>
        </is>
      </c>
      <c r="B27" s="3" t="inlineStr">
        <is>
          <t>黃金</t>
        </is>
      </c>
      <c r="C27" s="3" t="inlineStr">
        <is>
          <t>GLD</t>
        </is>
      </c>
      <c r="D27" s="3" t="inlineStr">
        <is>
          <t>00635U.TW</t>
        </is>
      </c>
      <c r="E27" s="3" t="inlineStr">
        <is>
          <t>2週（10 交易日）</t>
        </is>
      </c>
      <c r="F27" s="3" t="inlineStr">
        <is>
          <t>短線</t>
        </is>
      </c>
      <c r="G27" s="3" t="inlineStr">
        <is>
          <t>2026-10-09</t>
        </is>
      </c>
      <c r="H27" s="3">
        <v>384.58</v>
      </c>
      <c r="I27" s="3" t="inlineStr">
        <is>
          <t>2026-10-23</t>
        </is>
      </c>
      <c r="J27" s="4">
        <v>0.45</v>
      </c>
      <c r="K27" s="4">
        <v>-2.16</v>
      </c>
      <c r="L27" s="4">
        <v>2.82</v>
      </c>
      <c r="M27" s="4">
        <v>55.27</v>
      </c>
      <c r="N27" s="3" t="inlineStr">
        <is>
          <t>偏漲</t>
        </is>
      </c>
      <c r="O27" s="3" t="inlineStr">
        <is>
          <t>未到期</t>
        </is>
      </c>
      <c r="P27" s="3"/>
      <c r="Q27" s="3"/>
      <c r="R27" s="3"/>
      <c r="S27" s="4"/>
      <c r="T27" s="3"/>
      <c r="U27" s="3"/>
      <c r="V27" s="4"/>
      <c r="W27" s="3"/>
      <c r="X27" s="3"/>
      <c r="Y27" s="3"/>
      <c r="Z27" s="6"/>
      <c r="AA27" s="6"/>
      <c r="AB27" s="6"/>
      <c r="AC27" t="str">
        <f>IF(Z27="","",IF(Q27="","系統尚未結算",IF(ROUND(ABS(Z27/Q27-1)*100,6)&lt;=0.5,"一致","不一致")))</f>
        <v/>
      </c>
      <c r="AD27" s="3"/>
      <c r="AE27" s="3" t="inlineStr">
        <is>
          <t>過去黃金（GLD）波動屬「高」時，10 個交易日（約2週）後的漲跌中位數 +0.5%，一半的情況落在 −2.2%～+2.8%，上漲機率 55.3%（約 182 段獨立樣本）。判定偏漲，主要反映長期上漲傾向，不是當下訊號。走步回測（只算起始日前已到期的決策）方向命中 56%（549 次判定，每週決策的 10 日報酬互相重疊，等效約 274 次獨立判定）、永遠猜漲 56%、永遠猜跌 44%，和永遠猜漲一樣準，沒有比較準；預測區間實際涵蓋 55%（理想約 50%）。趨勢空頭、動能弱、VIX 15（第 35 分位）只記錄、不參與預測（2008 年起的走步研究裡它們對漲跌沒有預測力）。</t>
        </is>
      </c>
      <c r="AF27" s="3" t="inlineStr">
        <is>
          <t>https://finance.yahoo.com/quote/GLD/history</t>
        </is>
      </c>
    </row>
    <row r="28">
      <c r="A28" s="3" t="inlineStr">
        <is>
          <t>2026-W42-TWD=X-H10</t>
        </is>
      </c>
      <c r="B28" s="3" t="inlineStr">
        <is>
          <t>美元／新台幣</t>
        </is>
      </c>
      <c r="C28" s="3" t="inlineStr">
        <is>
          <t>TWD=X</t>
        </is>
      </c>
      <c r="D28" s="3" t="inlineStr">
        <is>
          <t>美元定存／00865B.TW</t>
        </is>
      </c>
      <c r="E28" s="3" t="inlineStr">
        <is>
          <t>2週（10 交易日）</t>
        </is>
      </c>
      <c r="F28" s="3" t="inlineStr">
        <is>
          <t>短線</t>
        </is>
      </c>
      <c r="G28" s="3" t="inlineStr">
        <is>
          <t>2026-10-08</t>
        </is>
      </c>
      <c r="H28" s="3">
        <v>31.8483</v>
      </c>
      <c r="I28" s="3" t="inlineStr">
        <is>
          <t>2026-10-22</t>
        </is>
      </c>
      <c r="J28" s="4">
        <v>-0.03</v>
      </c>
      <c r="K28" s="4">
        <v>-0.47</v>
      </c>
      <c r="L28" s="4">
        <v>0.39</v>
      </c>
      <c r="M28" s="4">
        <v>47.42</v>
      </c>
      <c r="N28" s="3" t="inlineStr">
        <is>
          <t>不確定</t>
        </is>
      </c>
      <c r="O28" s="3" t="inlineStr">
        <is>
          <t>未到期</t>
        </is>
      </c>
      <c r="P28" s="3"/>
      <c r="Q28" s="3"/>
      <c r="R28" s="3"/>
      <c r="S28" s="4"/>
      <c r="T28" s="3"/>
      <c r="U28" s="3"/>
      <c r="V28" s="4"/>
      <c r="W28" s="3"/>
      <c r="X28" s="3"/>
      <c r="Y28" s="3"/>
      <c r="Z28" s="6"/>
      <c r="AA28" s="6"/>
      <c r="AB28" s="6"/>
      <c r="AC28" t="str">
        <f>IF(Z28="","",IF(Q28="","系統尚未結算",IF(ROUND(ABS(Z28/Q28-1)*100,6)&lt;=0.5,"一致","不一致")))</f>
        <v/>
      </c>
      <c r="AD28" s="3"/>
      <c r="AE28" s="3" t="inlineStr">
        <is>
          <t>過去美元／新台幣（TWD=X）波動屬「低」時，10 個交易日（約2週）後的漲跌中位數 0.0%，一半的情況落在 −0.5%～+0.4%，上漲機率 47%（約 178 段獨立樣本）。上漲機率介於 45%～55% 之間，不做方向判斷。走步回測（只算起始日前已到期的決策）方向命中 49%（260 次判定，每週決策的 10 日報酬互相重疊，等效約 130 次獨立判定）、永遠猜漲 46%、永遠猜跌 54%，還不如永遠猜跌（差 5 個百分點）；預測區間實際涵蓋 49%（理想約 50%）。趨勢多頭、動能強、VIX 15（第 35 分位）只記錄、不參與預測（2008 年起的走步研究裡它們對漲跌沒有預測力）。</t>
        </is>
      </c>
      <c r="AF28" s="3" t="inlineStr">
        <is>
          <t>https://finance.yahoo.com/quote/TWD=X/history</t>
        </is>
      </c>
    </row>
    <row r="29">
      <c r="A29" s="3" t="inlineStr">
        <is>
          <t>2026-W42-UUP-H10</t>
        </is>
      </c>
      <c r="B29" s="3" t="inlineStr">
        <is>
          <t>美元指數</t>
        </is>
      </c>
      <c r="C29" s="3" t="inlineStr">
        <is>
          <t>UUP</t>
        </is>
      </c>
      <c r="D29" s="3" t="inlineStr">
        <is>
          <t>00682U.TW</t>
        </is>
      </c>
      <c r="E29" s="3" t="inlineStr">
        <is>
          <t>2週（10 交易日）</t>
        </is>
      </c>
      <c r="F29" s="3" t="inlineStr">
        <is>
          <t>短線</t>
        </is>
      </c>
      <c r="G29" s="3" t="inlineStr">
        <is>
          <t>2026-10-09</t>
        </is>
      </c>
      <c r="H29" s="3">
        <v>29.02</v>
      </c>
      <c r="I29" s="3" t="inlineStr">
        <is>
          <t>2026-10-23</t>
        </is>
      </c>
      <c r="J29" s="4">
        <v>0.25</v>
      </c>
      <c r="K29" s="4">
        <v>-0.56</v>
      </c>
      <c r="L29" s="4">
        <v>0.94</v>
      </c>
      <c r="M29" s="4">
        <v>57.78</v>
      </c>
      <c r="N29" s="3" t="inlineStr">
        <is>
          <t>偏漲</t>
        </is>
      </c>
      <c r="O29" s="3" t="inlineStr">
        <is>
          <t>未到期</t>
        </is>
      </c>
      <c r="P29" s="3"/>
      <c r="Q29" s="3"/>
      <c r="R29" s="3"/>
      <c r="S29" s="4"/>
      <c r="T29" s="3"/>
      <c r="U29" s="3"/>
      <c r="V29" s="4"/>
      <c r="W29" s="3"/>
      <c r="X29" s="3"/>
      <c r="Y29" s="3"/>
      <c r="Z29" s="6"/>
      <c r="AA29" s="6"/>
      <c r="AB29" s="6"/>
      <c r="AC29" t="str">
        <f>IF(Z29="","",IF(Q29="","系統尚未結算",IF(ROUND(ABS(Z29/Q29-1)*100,6)&lt;=0.5,"一致","不一致")))</f>
        <v/>
      </c>
      <c r="AD29" s="3"/>
      <c r="AE29" s="3" t="inlineStr">
        <is>
          <t>過去美元指數（UUP）波動屬「低」時，10 個交易日（約2週）後的漲跌中位數 +0.2%，一半的情況落在 −0.6%～+0.9%，上漲機率 58%（約 162 段獨立樣本）。判定偏漲，主要反映長期上漲傾向，不是當下訊號。走步回測（只算起始日前已到期的決策）方向命中 56%（149 次判定，每週決策的 10 日報酬互相重疊，等效約 74 次獨立判定）、永遠猜漲 56%、永遠猜跌 44%，只比永遠猜漲高 1 個百分點，在隨機誤差內（±11），不能說比較準；預測區間實際涵蓋 56%（理想約 50%）。趨勢多頭、動能強、VIX 15（第 35 分位）只記錄、不參與預測（2008 年起的走步研究裡它們對漲跌沒有預測力）。</t>
        </is>
      </c>
      <c r="AF29" s="3" t="inlineStr">
        <is>
          <t>https://finance.yahoo.com/quote/UUP/history</t>
        </is>
      </c>
    </row>
    <row r="30">
      <c r="A30" s="3" t="inlineStr">
        <is>
          <t>2026-W42-FXY-H10</t>
        </is>
      </c>
      <c r="B30" s="3" t="inlineStr">
        <is>
          <t>日圓</t>
        </is>
      </c>
      <c r="C30" s="3" t="inlineStr">
        <is>
          <t>FXY</t>
        </is>
      </c>
      <c r="D30" s="3" t="inlineStr">
        <is>
          <t>無</t>
        </is>
      </c>
      <c r="E30" s="3" t="inlineStr">
        <is>
          <t>2週（10 交易日）</t>
        </is>
      </c>
      <c r="F30" s="3" t="inlineStr">
        <is>
          <t>短線</t>
        </is>
      </c>
      <c r="G30" s="3" t="inlineStr">
        <is>
          <t>2026-10-09</t>
        </is>
      </c>
      <c r="H30" s="3">
        <v>57.9</v>
      </c>
      <c r="I30" s="3" t="inlineStr">
        <is>
          <t>2026-10-23</t>
        </is>
      </c>
      <c r="J30" s="4">
        <v>-0.11</v>
      </c>
      <c r="K30" s="4">
        <v>-0.92</v>
      </c>
      <c r="L30" s="4">
        <v>0.7</v>
      </c>
      <c r="M30" s="4">
        <v>45.45</v>
      </c>
      <c r="N30" s="3" t="inlineStr">
        <is>
          <t>不確定</t>
        </is>
      </c>
      <c r="O30" s="3" t="inlineStr">
        <is>
          <t>未到期</t>
        </is>
      </c>
      <c r="P30" s="3"/>
      <c r="Q30" s="3"/>
      <c r="R30" s="3"/>
      <c r="S30" s="4"/>
      <c r="T30" s="3"/>
      <c r="U30" s="3"/>
      <c r="V30" s="4"/>
      <c r="W30" s="3"/>
      <c r="X30" s="3"/>
      <c r="Y30" s="3"/>
      <c r="Z30" s="6"/>
      <c r="AA30" s="6"/>
      <c r="AB30" s="6"/>
      <c r="AC30" t="str">
        <f>IF(Z30="","",IF(Q30="","系統尚未結算",IF(ROUND(ABS(Z30/Q30-1)*100,6)&lt;=0.5,"一致","不一致")))</f>
        <v/>
      </c>
      <c r="AD30" s="3"/>
      <c r="AE30" s="3" t="inlineStr">
        <is>
          <t>過去日圓（FXY）波動屬「低」時，10 個交易日（約2週）後的漲跌中位數 −0.1%，一半的情況落在 −0.9%～+0.7%，上漲機率 45.5%（約 163 段獨立樣本）。上漲機率介於 45%～55% 之間，不做方向判斷。走步回測（只算起始日前已到期的決策）方向命中 48%（125 次判定，每週決策的 10 日報酬互相重疊，等效約 62 次獨立判定）、永遠猜漲 49%、永遠猜跌 51%，還不如永遠猜跌（差 3 個百分點）；預測區間實際涵蓋 54%（理想約 50%）。趨勢盤整、動能弱、VIX 15（第 35 分位）只記錄、不參與預測（2008 年起的走步研究裡它們對漲跌沒有預測力）。</t>
        </is>
      </c>
      <c r="AF30" s="3" t="inlineStr">
        <is>
          <t>https://finance.yahoo.com/quote/FXY/history</t>
        </is>
      </c>
    </row>
    <row r="31">
      <c r="A31" s="3" t="inlineStr">
        <is>
          <t>2026-W42-0050.TW-H10</t>
        </is>
      </c>
      <c r="B31" s="3" t="inlineStr">
        <is>
          <t>台股（台灣 50）</t>
        </is>
      </c>
      <c r="C31" s="3" t="inlineStr">
        <is>
          <t>0050.TW</t>
        </is>
      </c>
      <c r="D31" s="3" t="inlineStr">
        <is>
          <t>006208.TW</t>
        </is>
      </c>
      <c r="E31" s="3" t="inlineStr">
        <is>
          <t>2週（10 交易日）</t>
        </is>
      </c>
      <c r="F31" s="3" t="inlineStr">
        <is>
          <t>短線</t>
        </is>
      </c>
      <c r="G31" s="3" t="inlineStr">
        <is>
          <t>2026-10-08</t>
        </is>
      </c>
      <c r="H31" s="3">
        <v>114.95</v>
      </c>
      <c r="I31" s="3" t="inlineStr">
        <is>
          <t>2026-10-22</t>
        </is>
      </c>
      <c r="J31" s="4">
        <v>0.72</v>
      </c>
      <c r="K31" s="4">
        <v>-1.59</v>
      </c>
      <c r="L31" s="4">
        <v>2.98</v>
      </c>
      <c r="M31" s="4">
        <v>58.02</v>
      </c>
      <c r="N31" s="3" t="inlineStr">
        <is>
          <t>偏漲</t>
        </is>
      </c>
      <c r="O31" s="3" t="inlineStr">
        <is>
          <t>未到期</t>
        </is>
      </c>
      <c r="P31" s="3"/>
      <c r="Q31" s="3"/>
      <c r="R31" s="3"/>
      <c r="S31" s="4"/>
      <c r="T31" s="3"/>
      <c r="U31" s="3"/>
      <c r="V31" s="4"/>
      <c r="W31" s="3"/>
      <c r="X31" s="3"/>
      <c r="Y31" s="3"/>
      <c r="Z31" s="6"/>
      <c r="AA31" s="6"/>
      <c r="AB31" s="6"/>
      <c r="AC31" t="str">
        <f>IF(Z31="","",IF(Q31="","系統尚未結算",IF(ROUND(ABS(Z31/Q31-1)*100,6)&lt;=0.5,"一致","不一致")))</f>
        <v/>
      </c>
      <c r="AD31" s="3"/>
      <c r="AE31" s="3" t="inlineStr">
        <is>
          <t>過去台股（台灣 50）（0050.TW）波動屬「中」時，10 個交易日（約2週）後的漲跌中位數 +0.7%，一半的情況落在 −1.6%～+3.0%，上漲機率 58%（約 143 段獨立樣本）。判定偏漲，主要反映長期上漲傾向，不是當下訊號。走步回測（只算起始日前已到期的決策）方向命中 61%（462 次判定，每週決策的 10 日報酬互相重疊，等效約 231 次獨立判定）、永遠猜漲 61%、永遠猜跌 39%，和永遠猜漲一樣準，沒有比較準；預測區間實際涵蓋 47%（理想約 50%）。趨勢多頭、動能強、VIX 15（第 35 分位）只記錄、不參與預測（2008 年起的走步研究裡它們對漲跌沒有預測力）。</t>
        </is>
      </c>
      <c r="AF31" s="3" t="inlineStr">
        <is>
          <t>https://finance.yahoo.com/quote/0050.TW/history</t>
        </is>
      </c>
    </row>
    <row r="32">
      <c r="A32" s="3" t="inlineStr">
        <is>
          <t>2026-W42-2330.TW-H10</t>
        </is>
      </c>
      <c r="B32" s="3" t="inlineStr">
        <is>
          <t>台積電</t>
        </is>
      </c>
      <c r="C32" s="3" t="inlineStr">
        <is>
          <t>2330.TW</t>
        </is>
      </c>
      <c r="D32" s="3" t="inlineStr">
        <is>
          <t>2330.TW</t>
        </is>
      </c>
      <c r="E32" s="3" t="inlineStr">
        <is>
          <t>2週（10 交易日）</t>
        </is>
      </c>
      <c r="F32" s="3" t="inlineStr">
        <is>
          <t>短線</t>
        </is>
      </c>
      <c r="G32" s="3" t="inlineStr">
        <is>
          <t>2026-10-08</t>
        </is>
      </c>
      <c r="H32" s="3">
        <v>2550.0</v>
      </c>
      <c r="I32" s="3" t="inlineStr">
        <is>
          <t>2026-10-22</t>
        </is>
      </c>
      <c r="J32" s="4">
        <v>1.0</v>
      </c>
      <c r="K32" s="4">
        <v>-1.49</v>
      </c>
      <c r="L32" s="4">
        <v>3.57</v>
      </c>
      <c r="M32" s="4">
        <v>59.23</v>
      </c>
      <c r="N32" s="3" t="inlineStr">
        <is>
          <t>偏漲</t>
        </is>
      </c>
      <c r="O32" s="3" t="inlineStr">
        <is>
          <t>未到期</t>
        </is>
      </c>
      <c r="P32" s="3"/>
      <c r="Q32" s="3"/>
      <c r="R32" s="3"/>
      <c r="S32" s="4"/>
      <c r="T32" s="3"/>
      <c r="U32" s="3"/>
      <c r="V32" s="4"/>
      <c r="W32" s="3"/>
      <c r="X32" s="3"/>
      <c r="Y32" s="3"/>
      <c r="Z32" s="6"/>
      <c r="AA32" s="6"/>
      <c r="AB32" s="6"/>
      <c r="AC32" t="str">
        <f>IF(Z32="","",IF(Q32="","系統尚未結算",IF(ROUND(ABS(Z32/Q32-1)*100,6)&lt;=0.5,"一致","不一致")))</f>
        <v/>
      </c>
      <c r="AD32" s="3"/>
      <c r="AE32" s="3" t="inlineStr">
        <is>
          <t>過去台積電（2330.TW）波動屬「低」時，10 個交易日（約2週）後的漲跌中位數 +1.0%，一半的情況落在 −1.5%～+3.6%，上漲機率 59%（約 220 段獨立樣本）。判定偏漲，主要反映長期上漲傾向，不是當下訊號。走步回測（只算起始日前已到期的決策）方向命中 61%（398 次判定，每週決策的 10 日報酬互相重疊，等效約 199 次獨立判定）、永遠猜漲 61%、永遠猜跌 39%，和永遠猜漲一樣準，沒有比較準；預測區間實際涵蓋 53%（理想約 50%）。趨勢多頭、動能中、VIX 15（第 35 分位）只記錄、不參與預測（2008 年起的走步研究裡它們對漲跌沒有預測力）。</t>
        </is>
      </c>
      <c r="AF32" s="3" t="inlineStr">
        <is>
          <t>https://finance.yahoo.com/quote/2330.TW/history</t>
        </is>
      </c>
    </row>
    <row r="33">
      <c r="A33" s="3" t="inlineStr">
        <is>
          <t>2026-W42-SOXX-H10</t>
        </is>
      </c>
      <c r="B33" s="3" t="inlineStr">
        <is>
          <t>美國半導體</t>
        </is>
      </c>
      <c r="C33" s="3" t="inlineStr">
        <is>
          <t>SOXX</t>
        </is>
      </c>
      <c r="D33" s="3" t="inlineStr">
        <is>
          <t>00891.TW</t>
        </is>
      </c>
      <c r="E33" s="3" t="inlineStr">
        <is>
          <t>2週（10 交易日）</t>
        </is>
      </c>
      <c r="F33" s="3" t="inlineStr">
        <is>
          <t>短線</t>
        </is>
      </c>
      <c r="G33" s="3" t="inlineStr">
        <is>
          <t>2026-10-09</t>
        </is>
      </c>
      <c r="H33" s="3">
        <v>559.4</v>
      </c>
      <c r="I33" s="3" t="inlineStr">
        <is>
          <t>2026-10-23</t>
        </is>
      </c>
      <c r="J33" s="4">
        <v>1.08</v>
      </c>
      <c r="K33" s="4">
        <v>-4.1</v>
      </c>
      <c r="L33" s="4">
        <v>6.13</v>
      </c>
      <c r="M33" s="4">
        <v>56.24</v>
      </c>
      <c r="N33" s="3" t="inlineStr">
        <is>
          <t>偏漲</t>
        </is>
      </c>
      <c r="O33" s="3" t="inlineStr">
        <is>
          <t>未到期</t>
        </is>
      </c>
      <c r="P33" s="3"/>
      <c r="Q33" s="3"/>
      <c r="R33" s="3"/>
      <c r="S33" s="4"/>
      <c r="T33" s="3"/>
      <c r="U33" s="3"/>
      <c r="V33" s="4"/>
      <c r="W33" s="3"/>
      <c r="X33" s="3"/>
      <c r="Y33" s="3"/>
      <c r="Z33" s="6"/>
      <c r="AA33" s="6"/>
      <c r="AB33" s="6"/>
      <c r="AC33" t="str">
        <f>IF(Z33="","",IF(Q33="","系統尚未結算",IF(ROUND(ABS(Z33/Q33-1)*100,6)&lt;=0.5,"一致","不一致")))</f>
        <v/>
      </c>
      <c r="AD33" s="3"/>
      <c r="AE33" s="3" t="inlineStr">
        <is>
          <t>過去美國半導體（SOXX）波動屬「高」時，10 個交易日（約2週）後的漲跌中位數 +1.1%，一半的情況落在 −4.1%～+6.1%，上漲機率 56%（約 210 段獨立樣本）。判定偏漲，主要反映長期上漲傾向，不是當下訊號。走步回測（只算起始日前已到期的決策）方向命中 59%（491 次判定，每週決策的 10 日報酬互相重疊，等效約 246 次獨立判定）、永遠猜漲 59%、永遠猜跌 41%，和永遠猜漲一樣準，沒有比較準；預測區間實際涵蓋 48%（理想約 50%）。趨勢多頭、動能強、VIX 15（第 35 分位）只記錄、不參與預測（2008 年起的走步研究裡它們對漲跌沒有預測力）。</t>
        </is>
      </c>
      <c r="AF33" s="3" t="inlineStr">
        <is>
          <t>https://finance.yahoo.com/quote/SOXX/history</t>
        </is>
      </c>
    </row>
    <row r="34">
      <c r="A34" s="3" t="inlineStr">
        <is>
          <t>2026-W42-SPY-H10</t>
        </is>
      </c>
      <c r="B34" s="3" t="inlineStr">
        <is>
          <t>美股 S&amp;P 500</t>
        </is>
      </c>
      <c r="C34" s="3" t="inlineStr">
        <is>
          <t>SPY</t>
        </is>
      </c>
      <c r="D34" s="3" t="inlineStr">
        <is>
          <t>00646.TW</t>
        </is>
      </c>
      <c r="E34" s="3" t="inlineStr">
        <is>
          <t>2週（10 交易日）</t>
        </is>
      </c>
      <c r="F34" s="3" t="inlineStr">
        <is>
          <t>短線</t>
        </is>
      </c>
      <c r="G34" s="3" t="inlineStr">
        <is>
          <t>2026-10-09</t>
        </is>
      </c>
      <c r="H34" s="3">
        <v>778.57</v>
      </c>
      <c r="I34" s="3" t="inlineStr">
        <is>
          <t>2026-10-23</t>
        </is>
      </c>
      <c r="J34" s="4">
        <v>0.56</v>
      </c>
      <c r="K34" s="4">
        <v>-0.63</v>
      </c>
      <c r="L34" s="4">
        <v>1.62</v>
      </c>
      <c r="M34" s="4">
        <v>63.4</v>
      </c>
      <c r="N34" s="3" t="inlineStr">
        <is>
          <t>偏漲</t>
        </is>
      </c>
      <c r="O34" s="3" t="inlineStr">
        <is>
          <t>未到期</t>
        </is>
      </c>
      <c r="P34" s="3"/>
      <c r="Q34" s="3"/>
      <c r="R34" s="3"/>
      <c r="S34" s="4"/>
      <c r="T34" s="3"/>
      <c r="U34" s="3"/>
      <c r="V34" s="4"/>
      <c r="W34" s="3"/>
      <c r="X34" s="3"/>
      <c r="Y34" s="3"/>
      <c r="Z34" s="6"/>
      <c r="AA34" s="6"/>
      <c r="AB34" s="6"/>
      <c r="AC34" t="str">
        <f>IF(Z34="","",IF(Q34="","系統尚未結算",IF(ROUND(ABS(Z34/Q34-1)*100,6)&lt;=0.5,"一致","不一致")))</f>
        <v/>
      </c>
      <c r="AD34" s="3"/>
      <c r="AE34" s="3" t="inlineStr">
        <is>
          <t>過去美股 S&amp;P 500（SPY）波動屬「低」時，10 個交易日（約2週）後的漲跌中位數 +0.6%，一半的情況落在 −0.6%～+1.6%，上漲機率 63%（約 280 段獨立樣本）。判定偏漲，主要反映長期上漲傾向，不是當下訊號。走步回測（只算起始日前已到期的決策）方向命中 64%（953 次判定，每週決策的 10 日報酬互相重疊，等效約 476 次獨立判定）、永遠猜漲 64%、永遠猜跌 36%，和永遠猜漲一樣準，沒有比較準；預測區間實際涵蓋 47%（理想約 50%）。趨勢多頭、動能中、VIX 15（第 35 分位）只記錄、不參與預測（2008 年起的走步研究裡它們對漲跌沒有預測力）。</t>
        </is>
      </c>
      <c r="AF34" s="3" t="inlineStr">
        <is>
          <t>https://finance.yahoo.com/quote/SPY/history</t>
        </is>
      </c>
    </row>
    <row r="35">
      <c r="A35" s="3" t="inlineStr">
        <is>
          <t>2026-W42-QQQ-H10</t>
        </is>
      </c>
      <c r="B35" s="3" t="inlineStr">
        <is>
          <t>那斯達克 100</t>
        </is>
      </c>
      <c r="C35" s="3" t="inlineStr">
        <is>
          <t>QQQ</t>
        </is>
      </c>
      <c r="D35" s="3" t="inlineStr">
        <is>
          <t>00662.TW</t>
        </is>
      </c>
      <c r="E35" s="3" t="inlineStr">
        <is>
          <t>2週（10 交易日）</t>
        </is>
      </c>
      <c r="F35" s="3" t="inlineStr">
        <is>
          <t>短線</t>
        </is>
      </c>
      <c r="G35" s="3" t="inlineStr">
        <is>
          <t>2026-10-09</t>
        </is>
      </c>
      <c r="H35" s="3">
        <v>751.27</v>
      </c>
      <c r="I35" s="3" t="inlineStr">
        <is>
          <t>2026-10-23</t>
        </is>
      </c>
      <c r="J35" s="4">
        <v>1.22</v>
      </c>
      <c r="K35" s="4">
        <v>-1.16</v>
      </c>
      <c r="L35" s="4">
        <v>3.33</v>
      </c>
      <c r="M35" s="4">
        <v>65.3</v>
      </c>
      <c r="N35" s="3" t="inlineStr">
        <is>
          <t>偏漲</t>
        </is>
      </c>
      <c r="O35" s="3" t="inlineStr">
        <is>
          <t>未到期</t>
        </is>
      </c>
      <c r="P35" s="3"/>
      <c r="Q35" s="3"/>
      <c r="R35" s="3"/>
      <c r="S35" s="4"/>
      <c r="T35" s="3"/>
      <c r="U35" s="3"/>
      <c r="V35" s="4"/>
      <c r="W35" s="3"/>
      <c r="X35" s="3"/>
      <c r="Y35" s="3"/>
      <c r="Z35" s="6"/>
      <c r="AA35" s="6"/>
      <c r="AB35" s="6"/>
      <c r="AC35" t="str">
        <f>IF(Z35="","",IF(Q35="","系統尚未結算",IF(ROUND(ABS(Z35/Q35-1)*100,6)&lt;=0.5,"一致","不一致")))</f>
        <v/>
      </c>
      <c r="AD35" s="3"/>
      <c r="AE35" s="3" t="inlineStr">
        <is>
          <t>過去那斯達克 100（QQQ）波動屬「中」時，10 個交易日（約2週）後的漲跌中位數 +1.2%，一半的情況落在 −1.2%～+3.3%，上漲機率 65%（約 229 段獨立樣本）。判定偏漲，主要反映長期上漲傾向，不是當下訊號。走步回測（只算起始日前已到期的決策）方向命中 64%（813 次判定，每週決策的 10 日報酬互相重疊，等效約 406 次獨立判定）、永遠猜漲 64%、永遠猜跌 36%，和永遠猜漲一樣準，沒有比較準；預測區間實際涵蓋 52%（理想約 50%）。趨勢多頭、動能強、VIX 15（第 35 分位）只記錄、不參與預測（2008 年起的走步研究裡它們對漲跌沒有預測力）。</t>
        </is>
      </c>
      <c r="AF35" s="3" t="inlineStr">
        <is>
          <t>https://finance.yahoo.com/quote/QQQ/history</t>
        </is>
      </c>
    </row>
    <row r="36">
      <c r="A36" s="3" t="inlineStr">
        <is>
          <t>2026-W42-EWJ-H10</t>
        </is>
      </c>
      <c r="B36" s="3" t="inlineStr">
        <is>
          <t>日股</t>
        </is>
      </c>
      <c r="C36" s="3" t="inlineStr">
        <is>
          <t>EWJ</t>
        </is>
      </c>
      <c r="D36" s="3" t="inlineStr">
        <is>
          <t>00645.TW</t>
        </is>
      </c>
      <c r="E36" s="3" t="inlineStr">
        <is>
          <t>2週（10 交易日）</t>
        </is>
      </c>
      <c r="F36" s="3" t="inlineStr">
        <is>
          <t>短線</t>
        </is>
      </c>
      <c r="G36" s="3" t="inlineStr">
        <is>
          <t>2026-10-09</t>
        </is>
      </c>
      <c r="H36" s="3">
        <v>97.86</v>
      </c>
      <c r="I36" s="3" t="inlineStr">
        <is>
          <t>2026-10-23</t>
        </is>
      </c>
      <c r="J36" s="4">
        <v>0.41</v>
      </c>
      <c r="K36" s="4">
        <v>-1.9</v>
      </c>
      <c r="L36" s="4">
        <v>2.48</v>
      </c>
      <c r="M36" s="4">
        <v>53.87</v>
      </c>
      <c r="N36" s="3" t="inlineStr">
        <is>
          <t>不確定</t>
        </is>
      </c>
      <c r="O36" s="3" t="inlineStr">
        <is>
          <t>未到期</t>
        </is>
      </c>
      <c r="P36" s="3"/>
      <c r="Q36" s="3"/>
      <c r="R36" s="3"/>
      <c r="S36" s="4"/>
      <c r="T36" s="3"/>
      <c r="U36" s="3"/>
      <c r="V36" s="4"/>
      <c r="W36" s="3"/>
      <c r="X36" s="3"/>
      <c r="Y36" s="3"/>
      <c r="Z36" s="6"/>
      <c r="AA36" s="6"/>
      <c r="AB36" s="6"/>
      <c r="AC36" t="str">
        <f>IF(Z36="","",IF(Q36="","系統尚未結算",IF(ROUND(ABS(Z36/Q36-1)*100,6)&lt;=0.5,"一致","不一致")))</f>
        <v/>
      </c>
      <c r="AD36" s="3"/>
      <c r="AE36" s="3" t="inlineStr">
        <is>
          <t>過去日股（EWJ）波動屬「中」時，10 個交易日（約2週）後的漲跌中位數 +0.4%，一半的情況落在 −1.9%～+2.5%，上漲機率 54%（約 254 段獨立樣本）。上漲機率介於 45%～55% 之間，不做方向判斷。走步回測（只算起始日前已到期的決策）方向命中 48%（21 次判定，每週決策的 10 日報酬互相重疊，等效約 10 次獨立判定）、永遠猜漲 62%、永遠猜跌 38%，還不如永遠猜漲（差 14 個百分點）；預測區間實際涵蓋 56%（理想約 50%）。趨勢多頭、動能中、VIX 15（第 35 分位）只記錄、不參與預測（2008 年起的走步研究裡它們對漲跌沒有預測力）。</t>
        </is>
      </c>
      <c r="AF36" s="3" t="inlineStr">
        <is>
          <t>https://finance.yahoo.com/quote/EWJ/history</t>
        </is>
      </c>
    </row>
    <row r="37">
      <c r="A37" s="3" t="inlineStr">
        <is>
          <t>2026-W42-EWH-H10</t>
        </is>
      </c>
      <c r="B37" s="3" t="inlineStr">
        <is>
          <t>港股</t>
        </is>
      </c>
      <c r="C37" s="3" t="inlineStr">
        <is>
          <t>EWH</t>
        </is>
      </c>
      <c r="D37" s="3" t="inlineStr">
        <is>
          <t>無</t>
        </is>
      </c>
      <c r="E37" s="3" t="inlineStr">
        <is>
          <t>2週（10 交易日）</t>
        </is>
      </c>
      <c r="F37" s="3" t="inlineStr">
        <is>
          <t>短線</t>
        </is>
      </c>
      <c r="G37" s="3" t="inlineStr">
        <is>
          <t>2026-10-09</t>
        </is>
      </c>
      <c r="H37" s="3">
        <v>22.06</v>
      </c>
      <c r="I37" s="3" t="inlineStr">
        <is>
          <t>2026-10-23</t>
        </is>
      </c>
      <c r="J37" s="4">
        <v>0.36</v>
      </c>
      <c r="K37" s="4">
        <v>-2.29</v>
      </c>
      <c r="L37" s="4">
        <v>2.75</v>
      </c>
      <c r="M37" s="4">
        <v>53.16</v>
      </c>
      <c r="N37" s="3" t="inlineStr">
        <is>
          <t>不確定</t>
        </is>
      </c>
      <c r="O37" s="3" t="inlineStr">
        <is>
          <t>未到期</t>
        </is>
      </c>
      <c r="P37" s="3"/>
      <c r="Q37" s="3"/>
      <c r="R37" s="3"/>
      <c r="S37" s="4"/>
      <c r="T37" s="3"/>
      <c r="U37" s="3"/>
      <c r="V37" s="4"/>
      <c r="W37" s="3"/>
      <c r="X37" s="3"/>
      <c r="Y37" s="3"/>
      <c r="Z37" s="6"/>
      <c r="AA37" s="6"/>
      <c r="AB37" s="6"/>
      <c r="AC37" t="str">
        <f>IF(Z37="","",IF(Q37="","系統尚未結算",IF(ROUND(ABS(Z37/Q37-1)*100,6)&lt;=0.5,"一致","不一致")))</f>
        <v/>
      </c>
      <c r="AD37" s="3"/>
      <c r="AE37" s="3" t="inlineStr">
        <is>
          <t>過去港股（EWH）波動屬「中」時，10 個交易日（約2週）後的漲跌中位數 +0.4%，一半的情況落在 −2.3%～+2.8%，上漲機率 53%（約 254 段獨立樣本）。上漲機率介於 45%～55% 之間，不做方向判斷。走步回測（只算起始日前已到期的決策）方向命中 51%（548 次判定，每週決策的 10 日報酬互相重疊，等效約 274 次獨立判定）、永遠猜漲 51%、永遠猜跌 49%，和永遠猜漲一樣準，沒有比較準；預測區間實際涵蓋 49%（理想約 50%）。趨勢盤整、動能弱、VIX 15（第 35 分位）只記錄、不參與預測（2008 年起的走步研究裡它們對漲跌沒有預測力）。</t>
        </is>
      </c>
      <c r="AF37" s="3" t="inlineStr">
        <is>
          <t>https://finance.yahoo.com/quote/EWH/history</t>
        </is>
      </c>
    </row>
    <row r="38">
      <c r="A38" s="3" t="inlineStr">
        <is>
          <t>2026-W42-USO-H10</t>
        </is>
      </c>
      <c r="B38" s="3" t="inlineStr">
        <is>
          <t>原油</t>
        </is>
      </c>
      <c r="C38" s="3" t="inlineStr">
        <is>
          <t>USO</t>
        </is>
      </c>
      <c r="D38" s="3" t="inlineStr">
        <is>
          <t>00642U.TW</t>
        </is>
      </c>
      <c r="E38" s="3" t="inlineStr">
        <is>
          <t>2週（10 交易日）</t>
        </is>
      </c>
      <c r="F38" s="3" t="inlineStr">
        <is>
          <t>短線</t>
        </is>
      </c>
      <c r="G38" s="3" t="inlineStr">
        <is>
          <t>2026-10-09</t>
        </is>
      </c>
      <c r="H38" s="3">
        <v>148.2</v>
      </c>
      <c r="I38" s="3" t="inlineStr">
        <is>
          <t>2026-10-23</t>
        </is>
      </c>
      <c r="J38" s="4">
        <v>0.9</v>
      </c>
      <c r="K38" s="4">
        <v>-4.68</v>
      </c>
      <c r="L38" s="4">
        <v>5.66</v>
      </c>
      <c r="M38" s="4">
        <v>55.02</v>
      </c>
      <c r="N38" s="3" t="inlineStr">
        <is>
          <t>偏漲</t>
        </is>
      </c>
      <c r="O38" s="3" t="inlineStr">
        <is>
          <t>未到期</t>
        </is>
      </c>
      <c r="P38" s="3"/>
      <c r="Q38" s="3"/>
      <c r="R38" s="3"/>
      <c r="S38" s="4"/>
      <c r="T38" s="3"/>
      <c r="U38" s="3"/>
      <c r="V38" s="4"/>
      <c r="W38" s="3"/>
      <c r="X38" s="3"/>
      <c r="Y38" s="3"/>
      <c r="Z38" s="6"/>
      <c r="AA38" s="6"/>
      <c r="AB38" s="6"/>
      <c r="AC38" t="str">
        <f>IF(Z38="","",IF(Q38="","系統尚未結算",IF(ROUND(ABS(Z38/Q38-1)*100,6)&lt;=0.5,"一致","不一致")))</f>
        <v/>
      </c>
      <c r="AD38" s="3"/>
      <c r="AE38" s="3" t="inlineStr">
        <is>
          <t>過去原油（USO）波動屬「高」時，10 個交易日（約2週）後的漲跌中位數 +0.9%，一半的情況落在 −4.7%～+5.7%，上漲機率 55.0%（約 170 段獨立樣本）。判定偏漲，主要反映長期上漲傾向，不是當下訊號。走步回測（只算起始日前已到期的決策）方向命中 35%（113 次判定，每週決策的 10 日報酬互相重疊，等效約 56 次獨立判定）、永遠猜漲 48%、永遠猜跌 52%，還不如永遠猜跌（差 18 個百分點）；預測區間實際涵蓋 51%（理想約 50%）。趨勢多頭、動能弱、VIX 15（第 35 分位）只記錄、不參與預測（2008 年起的走步研究裡它們對漲跌沒有預測力）。</t>
        </is>
      </c>
      <c r="AF38" s="3" t="inlineStr">
        <is>
          <t>https://finance.yahoo.com/quote/USO/history</t>
        </is>
      </c>
    </row>
    <row r="39">
      <c r="A39" s="3" t="inlineStr">
        <is>
          <t>2026-W42-UNG-H10</t>
        </is>
      </c>
      <c r="B39" s="3" t="inlineStr">
        <is>
          <t>天然氣</t>
        </is>
      </c>
      <c r="C39" s="3" t="inlineStr">
        <is>
          <t>UNG</t>
        </is>
      </c>
      <c r="D39" s="3" t="inlineStr">
        <is>
          <t>無</t>
        </is>
      </c>
      <c r="E39" s="3" t="inlineStr">
        <is>
          <t>2週（10 交易日）</t>
        </is>
      </c>
      <c r="F39" s="3" t="inlineStr">
        <is>
          <t>短線</t>
        </is>
      </c>
      <c r="G39" s="3" t="inlineStr">
        <is>
          <t>2026-10-09</t>
        </is>
      </c>
      <c r="H39" s="3">
        <v>11.01</v>
      </c>
      <c r="I39" s="3" t="inlineStr">
        <is>
          <t>2026-10-23</t>
        </is>
      </c>
      <c r="J39" s="4">
        <v>-0.93</v>
      </c>
      <c r="K39" s="4">
        <v>-6.49</v>
      </c>
      <c r="L39" s="4">
        <v>5.2</v>
      </c>
      <c r="M39" s="4">
        <v>45.77</v>
      </c>
      <c r="N39" s="3" t="inlineStr">
        <is>
          <t>不確定</t>
        </is>
      </c>
      <c r="O39" s="3" t="inlineStr">
        <is>
          <t>未到期</t>
        </is>
      </c>
      <c r="P39" s="3"/>
      <c r="Q39" s="3"/>
      <c r="R39" s="3"/>
      <c r="S39" s="4"/>
      <c r="T39" s="3"/>
      <c r="U39" s="3"/>
      <c r="V39" s="4"/>
      <c r="W39" s="3"/>
      <c r="X39" s="3"/>
      <c r="Y39" s="3"/>
      <c r="Z39" s="6"/>
      <c r="AA39" s="6"/>
      <c r="AB39" s="6"/>
      <c r="AC39" t="str">
        <f>IF(Z39="","",IF(Q39="","系統尚未結算",IF(ROUND(ABS(Z39/Q39-1)*100,6)&lt;=0.5,"一致","不一致")))</f>
        <v/>
      </c>
      <c r="AD39" s="3"/>
      <c r="AE39" s="3" t="inlineStr">
        <is>
          <t>過去天然氣（UNG）波動屬「中」時，10 個交易日（約2週）後的漲跌中位數 −0.9%，一半的情況落在 −6.5%～+5.2%，上漲機率 46%（約 161 段獨立樣本）。上漲機率介於 45%～55% 之間，不做方向判斷。走步回測（只算起始日前已到期的決策）方向命中 56%（646 次判定，每週決策的 10 日報酬互相重疊，等效約 323 次獨立判定）、永遠猜漲 44%、永遠猜跌 56%，和永遠猜跌一樣準，沒有比較準；預測區間實際涵蓋 50%（理想約 50%）。趨勢空頭、動能強、VIX 15（第 35 分位）只記錄、不參與預測（2008 年起的走步研究裡它們對漲跌沒有預測力）。</t>
        </is>
      </c>
      <c r="AF39" s="3" t="inlineStr">
        <is>
          <t>https://finance.yahoo.com/quote/UNG/history</t>
        </is>
      </c>
    </row>
    <row r="40">
      <c r="A40" s="3" t="inlineStr">
        <is>
          <t>2026-W42-CPER-H10</t>
        </is>
      </c>
      <c r="B40" s="3" t="inlineStr">
        <is>
          <t>銅</t>
        </is>
      </c>
      <c r="C40" s="3" t="inlineStr">
        <is>
          <t>CPER</t>
        </is>
      </c>
      <c r="D40" s="3" t="inlineStr">
        <is>
          <t>無</t>
        </is>
      </c>
      <c r="E40" s="3" t="inlineStr">
        <is>
          <t>2週（10 交易日）</t>
        </is>
      </c>
      <c r="F40" s="3" t="inlineStr">
        <is>
          <t>短線</t>
        </is>
      </c>
      <c r="G40" s="3" t="inlineStr">
        <is>
          <t>2026-10-09</t>
        </is>
      </c>
      <c r="H40" s="3">
        <v>40.31</v>
      </c>
      <c r="I40" s="3" t="inlineStr">
        <is>
          <t>2026-10-23</t>
        </is>
      </c>
      <c r="J40" s="4">
        <v>0.04</v>
      </c>
      <c r="K40" s="4">
        <v>-2.54</v>
      </c>
      <c r="L40" s="4">
        <v>2.8</v>
      </c>
      <c r="M40" s="4">
        <v>50.2</v>
      </c>
      <c r="N40" s="3" t="inlineStr">
        <is>
          <t>不確定</t>
        </is>
      </c>
      <c r="O40" s="3" t="inlineStr">
        <is>
          <t>未到期</t>
        </is>
      </c>
      <c r="P40" s="3"/>
      <c r="Q40" s="3"/>
      <c r="R40" s="3"/>
      <c r="S40" s="4"/>
      <c r="T40" s="3"/>
      <c r="U40" s="3"/>
      <c r="V40" s="4"/>
      <c r="W40" s="3"/>
      <c r="X40" s="3"/>
      <c r="Y40" s="3"/>
      <c r="Z40" s="6"/>
      <c r="AA40" s="6"/>
      <c r="AB40" s="6"/>
      <c r="AC40" t="str">
        <f>IF(Z40="","",IF(Q40="","系統尚未結算",IF(ROUND(ABS(Z40/Q40-1)*100,6)&lt;=0.5,"一致","不一致")))</f>
        <v/>
      </c>
      <c r="AD40" s="3"/>
      <c r="AE40" s="3" t="inlineStr">
        <is>
          <t>過去銅（CPER）波動屬「中」時，10 個交易日（約2週）後的漲跌中位數 0.0%，一半的情況落在 −2.5%～+2.8%，上漲機率 50%（約 124 段獨立樣本）。上漲機率介於 45%～55% 之間，不做方向判斷。走步回測（只算起始日前已到期的決策）方向命中 41%（118 次判定，每週決策的 10 日報酬互相重疊，等效約 59 次獨立判定）、永遠猜漲 57%、永遠猜跌 43%，還不如永遠猜漲（差 16 個百分點）；預測區間實際涵蓋 49%（理想約 50%）。趨勢多頭、動能強、VIX 15（第 35 分位）只記錄、不參與預測（2008 年起的走步研究裡它們對漲跌沒有預測力）。</t>
        </is>
      </c>
      <c r="AF40" s="3" t="inlineStr">
        <is>
          <t>https://finance.yahoo.com/quote/CPER/history</t>
        </is>
      </c>
    </row>
    <row r="41">
      <c r="A41" s="3" t="inlineStr">
        <is>
          <t>2026-W42-SLV-H10</t>
        </is>
      </c>
      <c r="B41" s="3" t="inlineStr">
        <is>
          <t>白銀</t>
        </is>
      </c>
      <c r="C41" s="3" t="inlineStr">
        <is>
          <t>SLV</t>
        </is>
      </c>
      <c r="D41" s="3" t="inlineStr">
        <is>
          <t>無</t>
        </is>
      </c>
      <c r="E41" s="3" t="inlineStr">
        <is>
          <t>2週（10 交易日）</t>
        </is>
      </c>
      <c r="F41" s="3" t="inlineStr">
        <is>
          <t>短線</t>
        </is>
      </c>
      <c r="G41" s="3" t="inlineStr">
        <is>
          <t>2026-10-09</t>
        </is>
      </c>
      <c r="H41" s="3">
        <v>54.78</v>
      </c>
      <c r="I41" s="3" t="inlineStr">
        <is>
          <t>2026-10-23</t>
        </is>
      </c>
      <c r="J41" s="4">
        <v>0.74</v>
      </c>
      <c r="K41" s="4">
        <v>-3.66</v>
      </c>
      <c r="L41" s="4">
        <v>6.02</v>
      </c>
      <c r="M41" s="4">
        <v>54.74</v>
      </c>
      <c r="N41" s="3" t="inlineStr">
        <is>
          <t>不確定</t>
        </is>
      </c>
      <c r="O41" s="3" t="inlineStr">
        <is>
          <t>未到期</t>
        </is>
      </c>
      <c r="P41" s="3"/>
      <c r="Q41" s="3"/>
      <c r="R41" s="3"/>
      <c r="S41" s="4"/>
      <c r="T41" s="3"/>
      <c r="U41" s="3"/>
      <c r="V41" s="4"/>
      <c r="W41" s="3"/>
      <c r="X41" s="3"/>
      <c r="Y41" s="3"/>
      <c r="Z41" s="6"/>
      <c r="AA41" s="6"/>
      <c r="AB41" s="6"/>
      <c r="AC41" t="str">
        <f>IF(Z41="","",IF(Q41="","系統尚未結算",IF(ROUND(ABS(Z41/Q41-1)*100,6)&lt;=0.5,"一致","不一致")))</f>
        <v/>
      </c>
      <c r="AD41" s="3"/>
      <c r="AE41" s="3" t="inlineStr">
        <is>
          <t>過去白銀（SLV）波動屬「高」時，10 個交易日（約2週）後的漲跌中位數 +0.7%，一半的情況落在 −3.7%～+6.0%，上漲機率 54.7%（約 169 段獨立樣本）。上漲機率介於 45%～55% 之間，不做方向判斷。走步回測（只算起始日前已到期的決策）方向命中 49%（371 次判定，每週決策的 10 日報酬互相重疊，等效約 186 次獨立判定）、永遠猜漲 52%、永遠猜跌 48%，還不如永遠猜漲（差 2 個百分點）；預測區間實際涵蓋 54%（理想約 50%）。趨勢空頭、動能弱、VIX 15（第 35 分位）只記錄、不參與預測（2008 年起的走步研究裡它們對漲跌沒有預測力）。</t>
        </is>
      </c>
      <c r="AF41" s="3" t="inlineStr">
        <is>
          <t>https://finance.yahoo.com/quote/SLV/history</t>
        </is>
      </c>
    </row>
    <row r="42">
      <c r="A42" s="3" t="inlineStr">
        <is>
          <t>2026-W42-PPLT-H10</t>
        </is>
      </c>
      <c r="B42" s="3" t="inlineStr">
        <is>
          <t>白金</t>
        </is>
      </c>
      <c r="C42" s="3" t="inlineStr">
        <is>
          <t>PPLT</t>
        </is>
      </c>
      <c r="D42" s="3" t="inlineStr">
        <is>
          <t>無</t>
        </is>
      </c>
      <c r="E42" s="3" t="inlineStr">
        <is>
          <t>2週（10 交易日）</t>
        </is>
      </c>
      <c r="F42" s="3" t="inlineStr">
        <is>
          <t>短線</t>
        </is>
      </c>
      <c r="G42" s="3" t="inlineStr">
        <is>
          <t>2026-10-09</t>
        </is>
      </c>
      <c r="H42" s="3">
        <v>15.25</v>
      </c>
      <c r="I42" s="3" t="inlineStr">
        <is>
          <t>2026-10-23</t>
        </is>
      </c>
      <c r="J42" s="4">
        <v>0.83</v>
      </c>
      <c r="K42" s="4">
        <v>-2.77</v>
      </c>
      <c r="L42" s="4">
        <v>4.35</v>
      </c>
      <c r="M42" s="4">
        <v>56.44</v>
      </c>
      <c r="N42" s="3" t="inlineStr">
        <is>
          <t>偏漲</t>
        </is>
      </c>
      <c r="O42" s="3" t="inlineStr">
        <is>
          <t>未到期</t>
        </is>
      </c>
      <c r="P42" s="3"/>
      <c r="Q42" s="3"/>
      <c r="R42" s="3"/>
      <c r="S42" s="4"/>
      <c r="T42" s="3"/>
      <c r="U42" s="3"/>
      <c r="V42" s="4"/>
      <c r="W42" s="3"/>
      <c r="X42" s="3"/>
      <c r="Y42" s="3"/>
      <c r="Z42" s="6"/>
      <c r="AA42" s="6"/>
      <c r="AB42" s="6"/>
      <c r="AC42" t="str">
        <f>IF(Z42="","",IF(Q42="","系統尚未結算",IF(ROUND(ABS(Z42/Q42-1)*100,6)&lt;=0.5,"一致","不一致")))</f>
        <v/>
      </c>
      <c r="AD42" s="3"/>
      <c r="AE42" s="3" t="inlineStr">
        <is>
          <t>過去白金（PPLT）波動屬「高」時，10 個交易日（約2週）後的漲跌中位數 +0.8%，一半的情況落在 −2.8%～+4.3%，上漲機率 56%（約 138 段獨立樣本）。判定偏漲，主要反映長期上漲傾向，不是當下訊號。走步回測（只算起始日前已到期的決策）方向命中 46%（114 次判定，每週決策的 10 日報酬互相重疊，等效約 57 次獨立判定）、永遠猜漲 53%、永遠猜跌 47%，還不如永遠猜漲（差 6 個百分點）；預測區間實際涵蓋 48%（理想約 50%）。趨勢空頭、動能弱、VIX 15（第 35 分位）只記錄、不參與預測（2008 年起的走步研究裡它們對漲跌沒有預測力）。</t>
        </is>
      </c>
      <c r="AF42" s="3" t="inlineStr">
        <is>
          <t>https://finance.yahoo.com/quote/PPLT/history</t>
        </is>
      </c>
    </row>
    <row r="43">
      <c r="A43" s="3" t="inlineStr">
        <is>
          <t>2026-W42-DBA-H10</t>
        </is>
      </c>
      <c r="B43" s="3" t="inlineStr">
        <is>
          <t>農產品</t>
        </is>
      </c>
      <c r="C43" s="3" t="inlineStr">
        <is>
          <t>DBA</t>
        </is>
      </c>
      <c r="D43" s="3" t="inlineStr">
        <is>
          <t>無</t>
        </is>
      </c>
      <c r="E43" s="3" t="inlineStr">
        <is>
          <t>2週（10 交易日）</t>
        </is>
      </c>
      <c r="F43" s="3" t="inlineStr">
        <is>
          <t>短線</t>
        </is>
      </c>
      <c r="G43" s="3" t="inlineStr">
        <is>
          <t>2026-10-09</t>
        </is>
      </c>
      <c r="H43" s="3">
        <v>28.33</v>
      </c>
      <c r="I43" s="3" t="inlineStr">
        <is>
          <t>2026-10-23</t>
        </is>
      </c>
      <c r="J43" s="4">
        <v>0.0</v>
      </c>
      <c r="K43" s="4">
        <v>-1.69</v>
      </c>
      <c r="L43" s="4">
        <v>1.69</v>
      </c>
      <c r="M43" s="4">
        <v>49.97</v>
      </c>
      <c r="N43" s="3" t="inlineStr">
        <is>
          <t>不確定</t>
        </is>
      </c>
      <c r="O43" s="3" t="inlineStr">
        <is>
          <t>未到期</t>
        </is>
      </c>
      <c r="P43" s="3"/>
      <c r="Q43" s="3"/>
      <c r="R43" s="3"/>
      <c r="S43" s="4"/>
      <c r="T43" s="3"/>
      <c r="U43" s="3"/>
      <c r="V43" s="4"/>
      <c r="W43" s="3"/>
      <c r="X43" s="3"/>
      <c r="Y43" s="3"/>
      <c r="Z43" s="6"/>
      <c r="AA43" s="6"/>
      <c r="AB43" s="6"/>
      <c r="AC43" t="str">
        <f>IF(Z43="","",IF(Q43="","系統尚未結算",IF(ROUND(ABS(Z43/Q43-1)*100,6)&lt;=0.5,"一致","不一致")))</f>
        <v/>
      </c>
      <c r="AD43" s="3"/>
      <c r="AE43" s="3" t="inlineStr">
        <is>
          <t>過去農產品（DBA）波動屬「中」時，10 個交易日（約2週）後的漲跌中位數 0.0%，一半的情況落在 −1.7%～+1.7%，上漲機率 50%（約 164 段獨立樣本）。上漲機率介於 45%～55% 之間，不做方向判斷。走步回測（只算起始日前已到期的決策）方向命中 51%（405 次判定，每週決策的 10 日報酬互相重疊，等效約 202 次獨立判定）、永遠猜漲 47%、永遠猜跌 53%，還不如永遠猜跌（差 2 個百分點）；預測區間實際涵蓋 49%（理想約 50%）。趨勢多頭、動能弱、VIX 15（第 35 分位）只記錄、不參與預測（2008 年起的走步研究裡它們對漲跌沒有預測力）。</t>
        </is>
      </c>
      <c r="AF43" s="3" t="inlineStr">
        <is>
          <t>https://finance.yahoo.com/quote/DBA/history</t>
        </is>
      </c>
    </row>
    <row r="44">
      <c r="A44" s="3" t="inlineStr">
        <is>
          <t>2026-W42-MOS-H10</t>
        </is>
      </c>
      <c r="B44" s="3" t="inlineStr">
        <is>
          <t>肥料股</t>
        </is>
      </c>
      <c r="C44" s="3" t="inlineStr">
        <is>
          <t>MOS</t>
        </is>
      </c>
      <c r="D44" s="3" t="inlineStr">
        <is>
          <t>CF／NTR／1722.TW</t>
        </is>
      </c>
      <c r="E44" s="3" t="inlineStr">
        <is>
          <t>2週（10 交易日）</t>
        </is>
      </c>
      <c r="F44" s="3" t="inlineStr">
        <is>
          <t>短線</t>
        </is>
      </c>
      <c r="G44" s="3" t="inlineStr">
        <is>
          <t>2026-10-09</t>
        </is>
      </c>
      <c r="H44" s="3">
        <v>18.74</v>
      </c>
      <c r="I44" s="3" t="inlineStr">
        <is>
          <t>2026-10-23</t>
        </is>
      </c>
      <c r="J44" s="4">
        <v>0.53</v>
      </c>
      <c r="K44" s="4">
        <v>-4.86</v>
      </c>
      <c r="L44" s="4">
        <v>5.3</v>
      </c>
      <c r="M44" s="4">
        <v>52.44</v>
      </c>
      <c r="N44" s="3" t="inlineStr">
        <is>
          <t>不確定</t>
        </is>
      </c>
      <c r="O44" s="3" t="inlineStr">
        <is>
          <t>未到期</t>
        </is>
      </c>
      <c r="P44" s="3"/>
      <c r="Q44" s="3"/>
      <c r="R44" s="3"/>
      <c r="S44" s="4"/>
      <c r="T44" s="3"/>
      <c r="U44" s="3"/>
      <c r="V44" s="4"/>
      <c r="W44" s="3"/>
      <c r="X44" s="3"/>
      <c r="Y44" s="3"/>
      <c r="Z44" s="6"/>
      <c r="AA44" s="6"/>
      <c r="AB44" s="6"/>
      <c r="AC44" t="str">
        <f>IF(Z44="","",IF(Q44="","系統尚未結算",IF(ROUND(ABS(Z44/Q44-1)*100,6)&lt;=0.5,"一致","不一致")))</f>
        <v/>
      </c>
      <c r="AD44" s="3"/>
      <c r="AE44" s="3" t="inlineStr">
        <is>
          <t>過去肥料股（MOS）波動屬「中」時，10 個交易日（約2週）後的漲跌中位數 +0.5%，一半的情況落在 −4.9%～+5.3%，上漲機率 52%（約 307 段獨立樣本）。上漲機率介於 45%～55% 之間，不做方向判斷。走步回測（977 次決策）沒有方向判定可比；預測區間實際涵蓋 51%（理想約 50%）。趨勢空頭、動能弱、VIX 15（第 35 分位）只記錄、不參與預測（2008 年起的走步研究裡它們對漲跌沒有預測力）。</t>
        </is>
      </c>
      <c r="AF44" s="3" t="inlineStr">
        <is>
          <t>https://finance.yahoo.com/quote/MOS/history</t>
        </is>
      </c>
    </row>
    <row r="45">
      <c r="A45" s="3" t="inlineStr">
        <is>
          <t>2026-W42-BRK-B-H10</t>
        </is>
      </c>
      <c r="B45" s="3" t="inlineStr">
        <is>
          <t>波克夏</t>
        </is>
      </c>
      <c r="C45" s="3" t="inlineStr">
        <is>
          <t>BRK-B</t>
        </is>
      </c>
      <c r="D45" s="3" t="inlineStr">
        <is>
          <t>無</t>
        </is>
      </c>
      <c r="E45" s="3" t="inlineStr">
        <is>
          <t>2週（10 交易日）</t>
        </is>
      </c>
      <c r="F45" s="3" t="inlineStr">
        <is>
          <t>短線</t>
        </is>
      </c>
      <c r="G45" s="3" t="inlineStr">
        <is>
          <t>2026-10-09</t>
        </is>
      </c>
      <c r="H45" s="3">
        <v>515.62</v>
      </c>
      <c r="I45" s="3" t="inlineStr">
        <is>
          <t>2026-10-23</t>
        </is>
      </c>
      <c r="J45" s="4">
        <v>0.36</v>
      </c>
      <c r="K45" s="4">
        <v>-1.2</v>
      </c>
      <c r="L45" s="4">
        <v>2.07</v>
      </c>
      <c r="M45" s="4">
        <v>55.69</v>
      </c>
      <c r="N45" s="3" t="inlineStr">
        <is>
          <t>偏漲</t>
        </is>
      </c>
      <c r="O45" s="3" t="inlineStr">
        <is>
          <t>未到期</t>
        </is>
      </c>
      <c r="P45" s="3"/>
      <c r="Q45" s="3"/>
      <c r="R45" s="3"/>
      <c r="S45" s="4"/>
      <c r="T45" s="3"/>
      <c r="U45" s="3"/>
      <c r="V45" s="4"/>
      <c r="W45" s="3"/>
      <c r="X45" s="3"/>
      <c r="Y45" s="3"/>
      <c r="Z45" s="6"/>
      <c r="AA45" s="6"/>
      <c r="AB45" s="6"/>
      <c r="AC45" t="str">
        <f>IF(Z45="","",IF(Q45="","系統尚未結算",IF(ROUND(ABS(Z45/Q45-1)*100,6)&lt;=0.5,"一致","不一致")))</f>
        <v/>
      </c>
      <c r="AD45" s="3"/>
      <c r="AE45" s="3" t="inlineStr">
        <is>
          <t>過去波克夏（BRK-B）波動屬「低」時，10 個交易日（約2週）後的漲跌中位數 +0.4%，一半的情況落在 −1.2%～+2.1%，上漲機率 56%（約 252 段獨立樣本）。判定偏漲，主要反映長期上漲傾向，不是當下訊號。走步回測（只算起始日前已到期的決策）方向命中 52%（487 次判定，每週決策的 10 日報酬互相重疊，等效約 244 次獨立判定）、永遠猜漲 52%、永遠猜跌 48%，和永遠猜漲一樣準，沒有比較準；預測區間實際涵蓋 50%（理想約 50%）。趨勢多頭、動能中、VIX 15（第 35 分位）只記錄、不參與預測（2008 年起的走步研究裡它們對漲跌沒有預測力）。</t>
        </is>
      </c>
      <c r="AF45" s="3" t="inlineStr">
        <is>
          <t>https://finance.yahoo.com/quote/BRK-B/history</t>
        </is>
      </c>
    </row>
  </sheetData>
  <autoFilter ref="A1:AF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4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2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2" customWidth="1"/>
    <col min="49" max="49" width="12" customWidth="1"/>
    <col min="50" max="50" width="12" customWidth="1"/>
    <col min="51" max="51" width="60" customWidth="1"/>
  </cols>
  <sheetData>
    <row r="1">
      <c r="A1" s="1" t="inlineStr">
        <is>
          <t>預測編號</t>
        </is>
      </c>
      <c r="B1" s="1" t="inlineStr">
        <is>
          <t>來源</t>
        </is>
      </c>
      <c r="C1" s="1" t="inlineStr">
        <is>
          <t>建立日期</t>
        </is>
      </c>
      <c r="D1" s="1" t="inlineStr">
        <is>
          <t>模型版本</t>
        </is>
      </c>
      <c r="E1" s="1" t="inlineStr">
        <is>
          <t>期間層級</t>
        </is>
      </c>
      <c r="F1" s="1" t="inlineStr">
        <is>
          <t>期間（交易日）</t>
        </is>
      </c>
      <c r="G1" s="1" t="inlineStr">
        <is>
          <t>期間（約略）</t>
        </is>
      </c>
      <c r="H1" s="1" t="inlineStr">
        <is>
          <t>資產</t>
        </is>
      </c>
      <c r="I1" s="1" t="inlineStr">
        <is>
          <t>代號（預測用）</t>
        </is>
      </c>
      <c r="J1" s="1" t="inlineStr">
        <is>
          <t>台股可買</t>
        </is>
      </c>
      <c r="K1" s="1" t="inlineStr">
        <is>
          <t>起始日</t>
        </is>
      </c>
      <c r="L1" s="1" t="inlineStr">
        <is>
          <t>起始收盤（未還原，查價用）</t>
        </is>
      </c>
      <c r="M1" s="1" t="inlineStr">
        <is>
          <t>起始收盤（還原權息，模型用）</t>
        </is>
      </c>
      <c r="N1" s="1" t="inlineStr">
        <is>
          <t>預計到期日</t>
        </is>
      </c>
      <c r="O1" s="1" t="inlineStr">
        <is>
          <t>查價網址</t>
        </is>
      </c>
      <c r="P1" s="1" t="inlineStr">
        <is>
          <t>S0 歷史交易日數</t>
        </is>
      </c>
      <c r="Q1" s="1" t="inlineStr">
        <is>
          <t>S0 資料落後天數</t>
        </is>
      </c>
      <c r="R1" s="1" t="inlineStr">
        <is>
          <t>S0 結果</t>
        </is>
      </c>
      <c r="S1" s="1" t="inlineStr">
        <is>
          <t>S1 20日波動（年化%）</t>
        </is>
      </c>
      <c r="T1" s="1" t="inlineStr">
        <is>
          <t>S1 門檻低中（年化%）</t>
        </is>
      </c>
      <c r="U1" s="1" t="inlineStr">
        <is>
          <t>S1 門檻中高（年化%）</t>
        </is>
      </c>
      <c r="V1" s="1" t="inlineStr">
        <is>
          <t>S1 波動分位（0～100）</t>
        </is>
      </c>
      <c r="W1" s="1" t="inlineStr">
        <is>
          <t>S1 波動狀態</t>
        </is>
      </c>
      <c r="X1" s="1" t="inlineStr">
        <is>
          <t>S2 50日均線（還原價）</t>
        </is>
      </c>
      <c r="Y1" s="1" t="inlineStr">
        <is>
          <t>S2 200日均線（還原價）</t>
        </is>
      </c>
      <c r="Z1" s="1" t="inlineStr">
        <is>
          <t>S2 收盤相對200日線%</t>
        </is>
      </c>
      <c r="AA1" s="1" t="inlineStr">
        <is>
          <t>S2 趨勢狀態</t>
        </is>
      </c>
      <c r="AB1" s="1" t="inlineStr">
        <is>
          <t>S3 20日報酬%</t>
        </is>
      </c>
      <c r="AC1" s="1" t="inlineStr">
        <is>
          <t>S3 動能分位（0～100）</t>
        </is>
      </c>
      <c r="AD1" s="1" t="inlineStr">
        <is>
          <t>S3 動能狀態</t>
        </is>
      </c>
      <c r="AE1" s="1" t="inlineStr">
        <is>
          <t>S4 VIX</t>
        </is>
      </c>
      <c r="AF1" s="1" t="inlineStr">
        <is>
          <t>S4 VIX分位（0～100）</t>
        </is>
      </c>
      <c r="AG1" s="1" t="inlineStr">
        <is>
          <t>S5 查表樣本</t>
        </is>
      </c>
      <c r="AH1" s="1" t="inlineStr">
        <is>
          <t>S5 樣本數（日）</t>
        </is>
      </c>
      <c r="AI1" s="1" t="inlineStr">
        <is>
          <t>S5 獨立段數（樣本數÷期間）</t>
        </is>
      </c>
      <c r="AJ1" s="1" t="inlineStr">
        <is>
          <t>S5 預測漲跌%（中位數）</t>
        </is>
      </c>
      <c r="AK1" s="1" t="inlineStr">
        <is>
          <t>S5 區間下緣%（p25）</t>
        </is>
      </c>
      <c r="AL1" s="1" t="inlineStr">
        <is>
          <t>S5 區間上緣%（p75）</t>
        </is>
      </c>
      <c r="AM1" s="1" t="inlineStr">
        <is>
          <t>S5 歷史上漲機率%</t>
        </is>
      </c>
      <c r="AN1" s="1" t="inlineStr">
        <is>
          <t>S6 判定規則</t>
        </is>
      </c>
      <c r="AO1" s="1" t="inlineStr">
        <is>
          <t>S6 方向判定</t>
        </is>
      </c>
      <c r="AP1" s="1" t="inlineStr">
        <is>
          <t>回測判定次數</t>
        </is>
      </c>
      <c r="AQ1" s="1" t="inlineStr">
        <is>
          <t>回測方向命中%</t>
        </is>
      </c>
      <c r="AR1" s="1" t="inlineStr">
        <is>
          <t>回測永遠猜漲%</t>
        </is>
      </c>
      <c r="AS1" s="1" t="inlineStr">
        <is>
          <t>回測多數方向%</t>
        </is>
      </c>
      <c r="AT1" s="1" t="inlineStr">
        <is>
          <t>回測落在區間%</t>
        </is>
      </c>
      <c r="AU1" s="1" t="inlineStr">
        <is>
          <t>月度沙盤推演同期間期望超額%</t>
        </is>
      </c>
      <c r="AV1" s="1" t="inlineStr">
        <is>
          <t>月度沙盤推演同期間回測判定</t>
        </is>
      </c>
      <c r="AW1" s="1" t="inlineStr">
        <is>
          <t>狀態代碼</t>
        </is>
      </c>
      <c r="AX1" s="1" t="inlineStr">
        <is>
          <t>判斷流程</t>
        </is>
      </c>
      <c r="AY1" s="1" t="inlineStr">
        <is>
          <t>判斷原因</t>
        </is>
      </c>
    </row>
    <row r="2">
      <c r="A2" t="inlineStr">
        <is>
          <t>2026-W42-TLT-H5</t>
        </is>
      </c>
      <c r="B2" t="inlineStr">
        <is>
          <t>即時</t>
        </is>
      </c>
      <c r="C2" t="inlineStr">
        <is>
          <t>2026-10-12</t>
        </is>
      </c>
      <c r="D2" t="inlineStr">
        <is>
          <t>v2</t>
        </is>
      </c>
      <c r="E2" t="inlineStr">
        <is>
          <t>短線</t>
        </is>
      </c>
      <c r="F2" s="8">
        <v>5</v>
      </c>
      <c r="G2" t="inlineStr">
        <is>
          <t>1週</t>
        </is>
      </c>
      <c r="H2" t="inlineStr">
        <is>
          <t>美國長天期公債</t>
        </is>
      </c>
      <c r="I2" t="inlineStr">
        <is>
          <t>TLT</t>
        </is>
      </c>
      <c r="J2" t="inlineStr">
        <is>
          <t>00679B.TWO／00687B.TWO</t>
        </is>
      </c>
      <c r="K2" t="inlineStr">
        <is>
          <t>2026-10-09</t>
        </is>
      </c>
      <c r="L2">
        <v>77.98</v>
      </c>
      <c r="M2">
        <v>77.98</v>
      </c>
      <c r="N2" t="inlineStr">
        <is>
          <t>2026-10-16</t>
        </is>
      </c>
      <c r="O2" t="inlineStr">
        <is>
          <t>https://finance.yahoo.com/quote/TLT/history</t>
        </is>
      </c>
      <c r="P2" s="8">
        <v>6089</v>
      </c>
      <c r="Q2" s="8">
        <v>3</v>
      </c>
      <c r="R2" t="inlineStr">
        <is>
          <t>通過</t>
        </is>
      </c>
      <c r="S2" s="7">
        <v>10.46</v>
      </c>
      <c r="T2" s="7">
        <v>10.18</v>
      </c>
      <c r="U2" s="7">
        <v>13.88</v>
      </c>
      <c r="V2" s="7">
        <v>36.74</v>
      </c>
      <c r="W2" t="inlineStr">
        <is>
          <t>中</t>
        </is>
      </c>
      <c r="X2">
        <v>80.6537</v>
      </c>
      <c r="Y2">
        <v>83.5503</v>
      </c>
      <c r="Z2" s="7">
        <v>-6.67</v>
      </c>
      <c r="AA2" t="inlineStr">
        <is>
          <t>空頭</t>
        </is>
      </c>
      <c r="AB2" s="7">
        <v>-3.19</v>
      </c>
      <c r="AC2" s="7">
        <v>15.36</v>
      </c>
      <c r="AD2" t="inlineStr">
        <is>
          <t>弱</t>
        </is>
      </c>
      <c r="AE2" s="7">
        <v>15.41</v>
      </c>
      <c r="AF2" s="7">
        <v>34.54</v>
      </c>
      <c r="AG2" t="inlineStr">
        <is>
          <t>同波動</t>
        </is>
      </c>
      <c r="AH2" s="8">
        <v>2017</v>
      </c>
      <c r="AI2" s="8">
        <v>403</v>
      </c>
      <c r="AJ2" s="7">
        <v>0.13</v>
      </c>
      <c r="AK2" s="7">
        <v>-0.95</v>
      </c>
      <c r="AL2" s="7">
        <v>1.16</v>
      </c>
      <c r="AM2" s="7">
        <v>53.74</v>
      </c>
      <c r="AN2" t="inlineStr">
        <is>
          <t>≥55% 偏漲；≤45% 偏跌；其餘不確定</t>
        </is>
      </c>
      <c r="AO2" t="inlineStr">
        <is>
          <t>不確定</t>
        </is>
      </c>
      <c r="AP2" s="8">
        <v>331</v>
      </c>
      <c r="AQ2" s="7">
        <v>54.98</v>
      </c>
      <c r="AR2" s="7">
        <v>54.98</v>
      </c>
      <c r="AS2" s="7">
        <v>54.98</v>
      </c>
      <c r="AT2" s="7">
        <v>51.12</v>
      </c>
      <c r="AW2" t="inlineStr">
        <is>
          <t>VOL=中|TREND=空頭|MOM=弱|VIXQ=1|SAMPLE=同波動|CALL=不確定</t>
        </is>
      </c>
      <c r="AX2" t="inlineStr">
        <is>
          <t>S0 資料OK → S1 波動:中(第37分位) → S2 趨勢:空頭 → S3 動能:弱(第15分位) → S4 VIX:15.4(第35分位) → S5 同波動樣本 403 段 → S6 不確定(上漲機率54%)</t>
        </is>
      </c>
      <c r="AY2" t="inlineStr">
        <is>
          <t>過去美國長天期公債（TLT）波動屬「中」時，5 個交易日（約1週）後的漲跌中位數 +0.1%，一半的情況落在 −0.9%～+1.2%，上漲機率 54%（約 403 段獨立樣本）。上漲機率介於 45%～55% 之間，不做方向判斷。走步回測（只算起始日前已到期的決策）方向命中 55%（331 次判定）、永遠猜漲 55%、永遠猜跌 45%，和永遠猜漲一樣準，沒有比較準；預測區間實際涵蓋 51%（理想約 50%）。趨勢空頭、動能弱、VIX 15（第 35 分位）只記錄、不參與預測（2008 年起的走步研究裡它們對漲跌沒有預測力）。</t>
        </is>
      </c>
    </row>
    <row r="3">
      <c r="A3" t="inlineStr">
        <is>
          <t>2026-W42-LQD-H5</t>
        </is>
      </c>
      <c r="B3" t="inlineStr">
        <is>
          <t>即時</t>
        </is>
      </c>
      <c r="C3" t="inlineStr">
        <is>
          <t>2026-10-12</t>
        </is>
      </c>
      <c r="D3" t="inlineStr">
        <is>
          <t>v2</t>
        </is>
      </c>
      <c r="E3" t="inlineStr">
        <is>
          <t>短線</t>
        </is>
      </c>
      <c r="F3" s="8">
        <v>5</v>
      </c>
      <c r="G3" t="inlineStr">
        <is>
          <t>1週</t>
        </is>
      </c>
      <c r="H3" t="inlineStr">
        <is>
          <t>美國投資級公司債</t>
        </is>
      </c>
      <c r="I3" t="inlineStr">
        <is>
          <t>LQD</t>
        </is>
      </c>
      <c r="J3" t="inlineStr">
        <is>
          <t>00720B.TWO</t>
        </is>
      </c>
      <c r="K3" t="inlineStr">
        <is>
          <t>2026-10-09</t>
        </is>
      </c>
      <c r="L3">
        <v>102.41</v>
      </c>
      <c r="M3">
        <v>102.41</v>
      </c>
      <c r="N3" t="inlineStr">
        <is>
          <t>2026-10-16</t>
        </is>
      </c>
      <c r="O3" t="inlineStr">
        <is>
          <t>https://finance.yahoo.com/quote/LQD/history</t>
        </is>
      </c>
      <c r="P3" s="8">
        <v>6089</v>
      </c>
      <c r="Q3" s="8">
        <v>3</v>
      </c>
      <c r="R3" t="inlineStr">
        <is>
          <t>通過</t>
        </is>
      </c>
      <c r="S3" s="7">
        <v>6.61</v>
      </c>
      <c r="T3" s="7">
        <v>4.62</v>
      </c>
      <c r="U3" s="7">
        <v>6.49</v>
      </c>
      <c r="V3" s="7">
        <v>68.15</v>
      </c>
      <c r="W3" t="inlineStr">
        <is>
          <t>高</t>
        </is>
      </c>
      <c r="X3">
        <v>104.3054</v>
      </c>
      <c r="Y3">
        <v>106.0833</v>
      </c>
      <c r="Z3" s="7">
        <v>-3.46</v>
      </c>
      <c r="AA3" t="inlineStr">
        <is>
          <t>空頭</t>
        </is>
      </c>
      <c r="AB3" s="7">
        <v>-1.41</v>
      </c>
      <c r="AC3" s="7">
        <v>15.09</v>
      </c>
      <c r="AD3" t="inlineStr">
        <is>
          <t>弱</t>
        </is>
      </c>
      <c r="AE3" s="7">
        <v>15.41</v>
      </c>
      <c r="AF3" s="7">
        <v>34.54</v>
      </c>
      <c r="AG3" t="inlineStr">
        <is>
          <t>同波動</t>
        </is>
      </c>
      <c r="AH3" s="8">
        <v>2020</v>
      </c>
      <c r="AI3" s="8">
        <v>404</v>
      </c>
      <c r="AJ3" s="7">
        <v>0.18</v>
      </c>
      <c r="AK3" s="7">
        <v>-0.56</v>
      </c>
      <c r="AL3" s="7">
        <v>0.85</v>
      </c>
      <c r="AM3" s="7">
        <v>56.63</v>
      </c>
      <c r="AN3" t="inlineStr">
        <is>
          <t>≥55% 偏漲；≤45% 偏跌；其餘不確定</t>
        </is>
      </c>
      <c r="AO3" t="inlineStr">
        <is>
          <t>偏漲</t>
        </is>
      </c>
      <c r="AP3" s="8">
        <v>896</v>
      </c>
      <c r="AQ3" s="7">
        <v>57.59</v>
      </c>
      <c r="AR3" s="7">
        <v>57.59</v>
      </c>
      <c r="AS3" s="7">
        <v>57.59</v>
      </c>
      <c r="AT3" s="7">
        <v>52.56</v>
      </c>
      <c r="AW3" t="inlineStr">
        <is>
          <t>VOL=高|TREND=空頭|MOM=弱|VIXQ=1|SAMPLE=同波動|CALL=偏漲</t>
        </is>
      </c>
      <c r="AX3" t="inlineStr">
        <is>
          <t>S0 資料OK → S1 波動:高(第68分位) → S2 趨勢:空頭 → S3 動能:弱(第15分位) → S4 VIX:15.4(第35分位) → S5 同波動樣本 404 段 → S6 偏漲(上漲機率57%)</t>
        </is>
      </c>
      <c r="AY3" t="inlineStr">
        <is>
          <t>過去美國投資級公司債（LQD）波動屬「高」時，5 個交易日（約1週）後的漲跌中位數 +0.2%，一半的情況落在 −0.6%～+0.8%，上漲機率 57%（約 404 段獨立樣本）。判定偏漲，主要反映長期上漲傾向，不是當下訊號。走步回測（只算起始日前已到期的決策）方向命中 58%（896 次判定）、永遠猜漲 58%、永遠猜跌 42%，和永遠猜漲一樣準，沒有比較準；預測區間實際涵蓋 53%（理想約 50%）。趨勢空頭、動能弱、VIX 15（第 35 分位）只記錄、不參與預測（2008 年起的走步研究裡它們對漲跌沒有預測力）。</t>
        </is>
      </c>
    </row>
    <row r="4">
      <c r="A4" t="inlineStr">
        <is>
          <t>2026-W42-HYG-H5</t>
        </is>
      </c>
      <c r="B4" t="inlineStr">
        <is>
          <t>即時</t>
        </is>
      </c>
      <c r="C4" t="inlineStr">
        <is>
          <t>2026-10-12</t>
        </is>
      </c>
      <c r="D4" t="inlineStr">
        <is>
          <t>v2</t>
        </is>
      </c>
      <c r="E4" t="inlineStr">
        <is>
          <t>短線</t>
        </is>
      </c>
      <c r="F4" s="8">
        <v>5</v>
      </c>
      <c r="G4" t="inlineStr">
        <is>
          <t>1週</t>
        </is>
      </c>
      <c r="H4" t="inlineStr">
        <is>
          <t>美國高收益債</t>
        </is>
      </c>
      <c r="I4" t="inlineStr">
        <is>
          <t>HYG</t>
        </is>
      </c>
      <c r="J4" t="inlineStr">
        <is>
          <t>00710B.TW</t>
        </is>
      </c>
      <c r="K4" t="inlineStr">
        <is>
          <t>2026-10-09</t>
        </is>
      </c>
      <c r="L4">
        <v>77.23</v>
      </c>
      <c r="M4">
        <v>77.23</v>
      </c>
      <c r="N4" t="inlineStr">
        <is>
          <t>2026-10-16</t>
        </is>
      </c>
      <c r="O4" t="inlineStr">
        <is>
          <t>https://finance.yahoo.com/quote/HYG/history</t>
        </is>
      </c>
      <c r="P4" s="8">
        <v>4907</v>
      </c>
      <c r="Q4" s="8">
        <v>3</v>
      </c>
      <c r="R4" t="inlineStr">
        <is>
          <t>通過</t>
        </is>
      </c>
      <c r="S4" s="7">
        <v>3.96</v>
      </c>
      <c r="T4" s="7">
        <v>4.24</v>
      </c>
      <c r="U4" s="7">
        <v>7.1</v>
      </c>
      <c r="V4" s="7">
        <v>29.2</v>
      </c>
      <c r="W4" t="inlineStr">
        <is>
          <t>低</t>
        </is>
      </c>
      <c r="X4">
        <v>78.2889</v>
      </c>
      <c r="Y4">
        <v>77.9025</v>
      </c>
      <c r="Z4" s="7">
        <v>-0.86</v>
      </c>
      <c r="AA4" t="inlineStr">
        <is>
          <t>盤整</t>
        </is>
      </c>
      <c r="AB4" s="7">
        <v>-1.31</v>
      </c>
      <c r="AC4" s="7">
        <v>17.02</v>
      </c>
      <c r="AD4" t="inlineStr">
        <is>
          <t>弱</t>
        </is>
      </c>
      <c r="AE4" s="7">
        <v>15.41</v>
      </c>
      <c r="AF4" s="7">
        <v>34.54</v>
      </c>
      <c r="AG4" t="inlineStr">
        <is>
          <t>同波動</t>
        </is>
      </c>
      <c r="AH4" s="8">
        <v>1615</v>
      </c>
      <c r="AI4" s="8">
        <v>323</v>
      </c>
      <c r="AJ4" s="7">
        <v>0.11</v>
      </c>
      <c r="AK4" s="7">
        <v>-0.21</v>
      </c>
      <c r="AL4" s="7">
        <v>0.38</v>
      </c>
      <c r="AM4" s="7">
        <v>59.5</v>
      </c>
      <c r="AN4" t="inlineStr">
        <is>
          <t>≥55% 偏漲；≤45% 偏跌；其餘不確定</t>
        </is>
      </c>
      <c r="AO4" t="inlineStr">
        <is>
          <t>偏漲</t>
        </is>
      </c>
      <c r="AP4" s="8">
        <v>793</v>
      </c>
      <c r="AQ4" s="7">
        <v>59.77</v>
      </c>
      <c r="AR4" s="7">
        <v>59.77</v>
      </c>
      <c r="AS4" s="7">
        <v>59.77</v>
      </c>
      <c r="AT4" s="7">
        <v>56.17</v>
      </c>
      <c r="AW4" t="inlineStr">
        <is>
          <t>VOL=低|TREND=盤整|MOM=弱|VIXQ=1|SAMPLE=同波動|CALL=偏漲</t>
        </is>
      </c>
      <c r="AX4" t="inlineStr">
        <is>
          <t>S0 資料OK → S1 波動:低(第29分位) → S2 趨勢:盤整 → S3 動能:弱(第17分位) → S4 VIX:15.4(第35分位) → S5 同波動樣本 323 段 → S6 偏漲(上漲機率60%)</t>
        </is>
      </c>
      <c r="AY4" t="inlineStr">
        <is>
          <t>過去美國高收益債（HYG）波動屬「低」時，5 個交易日（約1週）後的漲跌中位數 +0.1%，一半的情況落在 −0.2%～+0.4%，上漲機率 60%（約 323 段獨立樣本）。判定偏漲，主要反映長期上漲傾向，不是當下訊號。走步回測（只算起始日前已到期的決策）方向命中 60%（793 次判定）、永遠猜漲 60%、永遠猜跌 40%，和永遠猜漲一樣準，沒有比較準；預測區間實際涵蓋 56%（理想約 50%）。趨勢盤整、動能弱、VIX 15（第 35 分位）只記錄、不參與預測（2008 年起的走步研究裡它們對漲跌沒有預測力）。</t>
        </is>
      </c>
    </row>
    <row r="5">
      <c r="A5" t="inlineStr">
        <is>
          <t>2026-W42-GLD-H5</t>
        </is>
      </c>
      <c r="B5" t="inlineStr">
        <is>
          <t>即時</t>
        </is>
      </c>
      <c r="C5" t="inlineStr">
        <is>
          <t>2026-10-12</t>
        </is>
      </c>
      <c r="D5" t="inlineStr">
        <is>
          <t>v2</t>
        </is>
      </c>
      <c r="E5" t="inlineStr">
        <is>
          <t>短線</t>
        </is>
      </c>
      <c r="F5" s="8">
        <v>5</v>
      </c>
      <c r="G5" t="inlineStr">
        <is>
          <t>1週</t>
        </is>
      </c>
      <c r="H5" t="inlineStr">
        <is>
          <t>黃金</t>
        </is>
      </c>
      <c r="I5" t="inlineStr">
        <is>
          <t>GLD</t>
        </is>
      </c>
      <c r="J5" t="inlineStr">
        <is>
          <t>00635U.TW</t>
        </is>
      </c>
      <c r="K5" t="inlineStr">
        <is>
          <t>2026-10-09</t>
        </is>
      </c>
      <c r="L5">
        <v>384.58</v>
      </c>
      <c r="M5">
        <v>384.58</v>
      </c>
      <c r="N5" t="inlineStr">
        <is>
          <t>2026-10-16</t>
        </is>
      </c>
      <c r="O5" t="inlineStr">
        <is>
          <t>https://finance.yahoo.com/quote/GLD/history</t>
        </is>
      </c>
      <c r="P5" s="8">
        <v>5507</v>
      </c>
      <c r="Q5" s="8">
        <v>3</v>
      </c>
      <c r="R5" t="inlineStr">
        <is>
          <t>通過</t>
        </is>
      </c>
      <c r="S5" s="7">
        <v>20.95</v>
      </c>
      <c r="T5" s="7">
        <v>12.26</v>
      </c>
      <c r="U5" s="7">
        <v>16.8</v>
      </c>
      <c r="V5" s="7">
        <v>80.3</v>
      </c>
      <c r="W5" t="inlineStr">
        <is>
          <t>高</t>
        </is>
      </c>
      <c r="X5">
        <v>397.0278</v>
      </c>
      <c r="Y5">
        <v>415.6548</v>
      </c>
      <c r="Z5" s="7">
        <v>-7.48</v>
      </c>
      <c r="AA5" t="inlineStr">
        <is>
          <t>空頭</t>
        </is>
      </c>
      <c r="AB5" s="7">
        <v>-3.56</v>
      </c>
      <c r="AC5" s="7">
        <v>15.31</v>
      </c>
      <c r="AD5" t="inlineStr">
        <is>
          <t>弱</t>
        </is>
      </c>
      <c r="AE5" s="7">
        <v>15.41</v>
      </c>
      <c r="AF5" s="7">
        <v>34.54</v>
      </c>
      <c r="AG5" t="inlineStr">
        <is>
          <t>同波動</t>
        </is>
      </c>
      <c r="AH5" s="8">
        <v>1827</v>
      </c>
      <c r="AI5" s="8">
        <v>365</v>
      </c>
      <c r="AJ5" s="7">
        <v>0.27</v>
      </c>
      <c r="AK5" s="7">
        <v>-1.77</v>
      </c>
      <c r="AL5" s="7">
        <v>2.06</v>
      </c>
      <c r="AM5" s="7">
        <v>53.42</v>
      </c>
      <c r="AN5" t="inlineStr">
        <is>
          <t>≥55% 偏漲；≤45% 偏跌；其餘不確定</t>
        </is>
      </c>
      <c r="AO5" t="inlineStr">
        <is>
          <t>不確定</t>
        </is>
      </c>
      <c r="AP5" s="8">
        <v>435</v>
      </c>
      <c r="AQ5" s="7">
        <v>59.08</v>
      </c>
      <c r="AR5" s="7">
        <v>59.08</v>
      </c>
      <c r="AS5" s="7">
        <v>59.08</v>
      </c>
      <c r="AT5" s="7">
        <v>54.5</v>
      </c>
      <c r="AW5" t="inlineStr">
        <is>
          <t>VOL=高|TREND=空頭|MOM=弱|VIXQ=1|SAMPLE=同波動|CALL=不確定</t>
        </is>
      </c>
      <c r="AX5" t="inlineStr">
        <is>
          <t>S0 資料OK → S1 波動:高(第80分位) → S2 趨勢:空頭 → S3 動能:弱(第15分位) → S4 VIX:15.4(第35分位) → S5 同波動樣本 365 段 → S6 不確定(上漲機率53%)</t>
        </is>
      </c>
      <c r="AY5" t="inlineStr">
        <is>
          <t>過去黃金（GLD）波動屬「高」時，5 個交易日（約1週）後的漲跌中位數 +0.3%，一半的情況落在 −1.8%～+2.1%，上漲機率 53%（約 365 段獨立樣本）。上漲機率介於 45%～55% 之間，不做方向判斷。走步回測（只算起始日前已到期的決策）方向命中 59%（435 次判定）、永遠猜漲 59%、永遠猜跌 41%，和永遠猜漲一樣準，沒有比較準；預測區間實際涵蓋 54%（理想約 50%）。趨勢空頭、動能弱、VIX 15（第 35 分位）只記錄、不參與預測（2008 年起的走步研究裡它們對漲跌沒有預測力）。</t>
        </is>
      </c>
    </row>
    <row r="6">
      <c r="A6" t="inlineStr">
        <is>
          <t>2026-W42-TWD=X-H5</t>
        </is>
      </c>
      <c r="B6" t="inlineStr">
        <is>
          <t>即時</t>
        </is>
      </c>
      <c r="C6" t="inlineStr">
        <is>
          <t>2026-10-12</t>
        </is>
      </c>
      <c r="D6" t="inlineStr">
        <is>
          <t>v2</t>
        </is>
      </c>
      <c r="E6" t="inlineStr">
        <is>
          <t>短線</t>
        </is>
      </c>
      <c r="F6" s="8">
        <v>5</v>
      </c>
      <c r="G6" t="inlineStr">
        <is>
          <t>1週</t>
        </is>
      </c>
      <c r="H6" t="inlineStr">
        <is>
          <t>美元／新台幣</t>
        </is>
      </c>
      <c r="I6" t="inlineStr">
        <is>
          <t>TWD=X</t>
        </is>
      </c>
      <c r="J6" t="inlineStr">
        <is>
          <t>美元定存／00865B.TW</t>
        </is>
      </c>
      <c r="K6" t="inlineStr">
        <is>
          <t>2026-10-08</t>
        </is>
      </c>
      <c r="L6">
        <v>31.8483</v>
      </c>
      <c r="M6">
        <v>31.8483</v>
      </c>
      <c r="N6" t="inlineStr">
        <is>
          <t>2026-10-15</t>
        </is>
      </c>
      <c r="O6" t="inlineStr">
        <is>
          <t>https://finance.yahoo.com/quote/TWD=X/history</t>
        </is>
      </c>
      <c r="P6" s="8">
        <v>5435</v>
      </c>
      <c r="Q6" s="8">
        <v>4</v>
      </c>
      <c r="R6" t="inlineStr">
        <is>
          <t>通過</t>
        </is>
      </c>
      <c r="S6" s="7">
        <v>3.17</v>
      </c>
      <c r="T6" s="7">
        <v>4.0</v>
      </c>
      <c r="U6" s="7">
        <v>6.37</v>
      </c>
      <c r="V6" s="7">
        <v>16.47</v>
      </c>
      <c r="W6" t="inlineStr">
        <is>
          <t>低</t>
        </is>
      </c>
      <c r="X6">
        <v>31.8696</v>
      </c>
      <c r="Y6">
        <v>31.7316</v>
      </c>
      <c r="Z6" s="7">
        <v>0.37</v>
      </c>
      <c r="AA6" t="inlineStr">
        <is>
          <t>多頭</t>
        </is>
      </c>
      <c r="AB6" s="7">
        <v>1.22</v>
      </c>
      <c r="AC6" s="7">
        <v>82.6</v>
      </c>
      <c r="AD6" t="inlineStr">
        <is>
          <t>強</t>
        </is>
      </c>
      <c r="AE6" s="7">
        <v>15.41</v>
      </c>
      <c r="AF6" s="7">
        <v>34.54</v>
      </c>
      <c r="AG6" t="inlineStr">
        <is>
          <t>同波動</t>
        </is>
      </c>
      <c r="AH6" s="8">
        <v>1785</v>
      </c>
      <c r="AI6" s="8">
        <v>357</v>
      </c>
      <c r="AJ6" s="7">
        <v>0.0</v>
      </c>
      <c r="AK6" s="7">
        <v>-0.27</v>
      </c>
      <c r="AL6" s="7">
        <v>0.27</v>
      </c>
      <c r="AM6" s="7">
        <v>48.96</v>
      </c>
      <c r="AN6" t="inlineStr">
        <is>
          <t>≥55% 偏漲；≤45% 偏跌；其餘不確定</t>
        </is>
      </c>
      <c r="AO6" t="inlineStr">
        <is>
          <t>不確定</t>
        </is>
      </c>
      <c r="AP6" s="8">
        <v>25</v>
      </c>
      <c r="AQ6" s="7">
        <v>56.0</v>
      </c>
      <c r="AR6" s="7">
        <v>56.0</v>
      </c>
      <c r="AS6" s="7">
        <v>56.0</v>
      </c>
      <c r="AT6" s="7">
        <v>48.54</v>
      </c>
      <c r="AW6" t="inlineStr">
        <is>
          <t>VOL=低|TREND=多頭|MOM=強|VIXQ=1|SAMPLE=同波動|CALL=不確定</t>
        </is>
      </c>
      <c r="AX6" t="inlineStr">
        <is>
          <t>S0 資料OK → S1 波動:低(第16分位) → S2 趨勢:多頭 → S3 動能:強(第83分位) → S4 VIX:15.4(第35分位) → S5 同波動樣本 357 段 → S6 不確定(上漲機率49%)</t>
        </is>
      </c>
      <c r="AY6" t="inlineStr">
        <is>
          <t>過去美元／新台幣（TWD=X）波動屬「低」時，5 個交易日（約1週）後的漲跌中位數 0.0%，一半的情況落在 −0.3%～+0.3%，上漲機率 49%（約 357 段獨立樣本）。上漲機率介於 45%～55% 之間，不做方向判斷。走步回測（只算起始日前已到期的決策）方向命中 56%（25 次判定）、永遠猜漲 56%、永遠猜跌 44%，和永遠猜漲一樣準，沒有比較準；預測區間實際涵蓋 49%（理想約 50%）。趨勢多頭、動能強、VIX 15（第 35 分位）只記錄、不參與預測（2008 年起的走步研究裡它們對漲跌沒有預測力）。</t>
        </is>
      </c>
    </row>
    <row r="7">
      <c r="A7" t="inlineStr">
        <is>
          <t>2026-W42-UUP-H5</t>
        </is>
      </c>
      <c r="B7" t="inlineStr">
        <is>
          <t>即時</t>
        </is>
      </c>
      <c r="C7" t="inlineStr">
        <is>
          <t>2026-10-12</t>
        </is>
      </c>
      <c r="D7" t="inlineStr">
        <is>
          <t>v2</t>
        </is>
      </c>
      <c r="E7" t="inlineStr">
        <is>
          <t>短線</t>
        </is>
      </c>
      <c r="F7" s="8">
        <v>5</v>
      </c>
      <c r="G7" t="inlineStr">
        <is>
          <t>1週</t>
        </is>
      </c>
      <c r="H7" t="inlineStr">
        <is>
          <t>美元指數</t>
        </is>
      </c>
      <c r="I7" t="inlineStr">
        <is>
          <t>UUP</t>
        </is>
      </c>
      <c r="J7" t="inlineStr">
        <is>
          <t>00682U.TW</t>
        </is>
      </c>
      <c r="K7" t="inlineStr">
        <is>
          <t>2026-10-09</t>
        </is>
      </c>
      <c r="L7">
        <v>29.02</v>
      </c>
      <c r="M7">
        <v>29.02</v>
      </c>
      <c r="N7" t="inlineStr">
        <is>
          <t>2026-10-16</t>
        </is>
      </c>
      <c r="O7" t="inlineStr">
        <is>
          <t>https://finance.yahoo.com/quote/UUP/history</t>
        </is>
      </c>
      <c r="P7" s="8">
        <v>4935</v>
      </c>
      <c r="Q7" s="8">
        <v>3</v>
      </c>
      <c r="R7" t="inlineStr">
        <is>
          <t>通過</t>
        </is>
      </c>
      <c r="S7" s="7">
        <v>4.58</v>
      </c>
      <c r="T7" s="7">
        <v>5.65</v>
      </c>
      <c r="U7" s="7">
        <v>7.73</v>
      </c>
      <c r="V7" s="7">
        <v>12.51</v>
      </c>
      <c r="W7" t="inlineStr">
        <is>
          <t>低</t>
        </is>
      </c>
      <c r="X7">
        <v>28.3162</v>
      </c>
      <c r="Y7">
        <v>27.785</v>
      </c>
      <c r="Z7" s="7">
        <v>4.44</v>
      </c>
      <c r="AA7" t="inlineStr">
        <is>
          <t>多頭</t>
        </is>
      </c>
      <c r="AB7" s="7">
        <v>3.38</v>
      </c>
      <c r="AC7" s="7">
        <v>94.08</v>
      </c>
      <c r="AD7" t="inlineStr">
        <is>
          <t>強</t>
        </is>
      </c>
      <c r="AE7" s="7">
        <v>15.41</v>
      </c>
      <c r="AF7" s="7">
        <v>34.54</v>
      </c>
      <c r="AG7" t="inlineStr">
        <is>
          <t>同波動</t>
        </is>
      </c>
      <c r="AH7" s="8">
        <v>1632</v>
      </c>
      <c r="AI7" s="8">
        <v>326</v>
      </c>
      <c r="AJ7" s="7">
        <v>0.12</v>
      </c>
      <c r="AK7" s="7">
        <v>-0.41</v>
      </c>
      <c r="AL7" s="7">
        <v>0.65</v>
      </c>
      <c r="AM7" s="7">
        <v>55.02</v>
      </c>
      <c r="AN7" t="inlineStr">
        <is>
          <t>≥55% 偏漲；≤45% 偏跌；其餘不確定</t>
        </is>
      </c>
      <c r="AO7" t="inlineStr">
        <is>
          <t>偏漲</t>
        </is>
      </c>
      <c r="AP7" s="8">
        <v>78</v>
      </c>
      <c r="AQ7" s="7">
        <v>48.72</v>
      </c>
      <c r="AR7" s="7">
        <v>51.28</v>
      </c>
      <c r="AS7" s="7">
        <v>51.28</v>
      </c>
      <c r="AT7" s="7">
        <v>53.99</v>
      </c>
      <c r="AW7" t="inlineStr">
        <is>
          <t>VOL=低|TREND=多頭|MOM=強|VIXQ=1|SAMPLE=同波動|CALL=偏漲</t>
        </is>
      </c>
      <c r="AX7" t="inlineStr">
        <is>
          <t>S0 資料OK → S1 波動:低(第13分位) → S2 趨勢:多頭 → S3 動能:強(第94分位) → S4 VIX:15.4(第35分位) → S5 同波動樣本 326 段 → S6 偏漲(上漲機率55.0%)</t>
        </is>
      </c>
      <c r="AY7" t="inlineStr">
        <is>
          <t>過去美元指數（UUP）波動屬「低」時，5 個交易日（約1週）後的漲跌中位數 +0.1%，一半的情況落在 −0.4%～+0.7%，上漲機率 55.0%（約 326 段獨立樣本）。判定偏漲，主要反映長期上漲傾向，不是當下訊號。走步回測（只算起始日前已到期的決策）方向命中 49%（78 次判定）、永遠猜漲 51%、永遠猜跌 49%，還不如永遠猜漲（差 3 個百分點）；預測區間實際涵蓋 54%（理想約 50%）。趨勢多頭、動能強、VIX 15（第 35 分位）只記錄、不參與預測（2008 年起的走步研究裡它們對漲跌沒有預測力）。</t>
        </is>
      </c>
    </row>
    <row r="8">
      <c r="A8" t="inlineStr">
        <is>
          <t>2026-W42-FXY-H5</t>
        </is>
      </c>
      <c r="B8" t="inlineStr">
        <is>
          <t>即時</t>
        </is>
      </c>
      <c r="C8" t="inlineStr">
        <is>
          <t>2026-10-12</t>
        </is>
      </c>
      <c r="D8" t="inlineStr">
        <is>
          <t>v2</t>
        </is>
      </c>
      <c r="E8" t="inlineStr">
        <is>
          <t>短線</t>
        </is>
      </c>
      <c r="F8" s="8">
        <v>5</v>
      </c>
      <c r="G8" t="inlineStr">
        <is>
          <t>1週</t>
        </is>
      </c>
      <c r="H8" t="inlineStr">
        <is>
          <t>日圓</t>
        </is>
      </c>
      <c r="I8" t="inlineStr">
        <is>
          <t>FXY</t>
        </is>
      </c>
      <c r="J8" t="inlineStr">
        <is>
          <t>無</t>
        </is>
      </c>
      <c r="K8" t="inlineStr">
        <is>
          <t>2026-10-09</t>
        </is>
      </c>
      <c r="L8">
        <v>57.9</v>
      </c>
      <c r="M8">
        <v>57.9</v>
      </c>
      <c r="N8" t="inlineStr">
        <is>
          <t>2026-10-16</t>
        </is>
      </c>
      <c r="O8" t="inlineStr">
        <is>
          <t>https://finance.yahoo.com/quote/FXY/history</t>
        </is>
      </c>
      <c r="P8" s="8">
        <v>4946</v>
      </c>
      <c r="Q8" s="8">
        <v>3</v>
      </c>
      <c r="R8" t="inlineStr">
        <is>
          <t>通過</t>
        </is>
      </c>
      <c r="S8" s="7">
        <v>6.05</v>
      </c>
      <c r="T8" s="7">
        <v>6.92</v>
      </c>
      <c r="U8" s="7">
        <v>10.02</v>
      </c>
      <c r="V8" s="7">
        <v>24.44</v>
      </c>
      <c r="W8" t="inlineStr">
        <is>
          <t>低</t>
        </is>
      </c>
      <c r="X8">
        <v>58.1216</v>
      </c>
      <c r="Y8">
        <v>57.9361</v>
      </c>
      <c r="Z8" s="7">
        <v>-0.06</v>
      </c>
      <c r="AA8" t="inlineStr">
        <is>
          <t>盤整</t>
        </is>
      </c>
      <c r="AB8" s="7">
        <v>-2.98</v>
      </c>
      <c r="AC8" s="7">
        <v>12.44</v>
      </c>
      <c r="AD8" t="inlineStr">
        <is>
          <t>弱</t>
        </is>
      </c>
      <c r="AE8" s="7">
        <v>15.41</v>
      </c>
      <c r="AF8" s="7">
        <v>34.54</v>
      </c>
      <c r="AG8" t="inlineStr">
        <is>
          <t>同波動</t>
        </is>
      </c>
      <c r="AH8" s="8">
        <v>1637</v>
      </c>
      <c r="AI8" s="8">
        <v>327</v>
      </c>
      <c r="AJ8" s="7">
        <v>-0.1</v>
      </c>
      <c r="AK8" s="7">
        <v>-0.65</v>
      </c>
      <c r="AL8" s="7">
        <v>0.51</v>
      </c>
      <c r="AM8" s="7">
        <v>44.72</v>
      </c>
      <c r="AN8" t="inlineStr">
        <is>
          <t>≥55% 偏漲；≤45% 偏跌；其餘不確定</t>
        </is>
      </c>
      <c r="AO8" t="inlineStr">
        <is>
          <t>偏跌</t>
        </is>
      </c>
      <c r="AP8" s="8">
        <v>101</v>
      </c>
      <c r="AQ8" s="7">
        <v>49.5</v>
      </c>
      <c r="AR8" s="7">
        <v>48.51</v>
      </c>
      <c r="AS8" s="7">
        <v>51.49</v>
      </c>
      <c r="AT8" s="7">
        <v>53.3</v>
      </c>
      <c r="AW8" t="inlineStr">
        <is>
          <t>VOL=低|TREND=盤整|MOM=弱|VIXQ=1|SAMPLE=同波動|CALL=偏跌</t>
        </is>
      </c>
      <c r="AX8" t="inlineStr">
        <is>
          <t>S0 資料OK → S1 波動:低(第24分位) → S2 趨勢:盤整 → S3 動能:弱(第12分位) → S4 VIX:15.4(第35分位) → S5 同波動樣本 327 段 → S6 偏跌(上漲機率44.7%)</t>
        </is>
      </c>
      <c r="AY8" t="inlineStr">
        <is>
          <t>過去日圓（FXY）波動屬「低」時，5 個交易日（約1週）後的漲跌中位數 −0.1%，一半的情況落在 −0.7%～+0.5%，上漲機率 44.7%（約 327 段獨立樣本）。判定偏跌，只表示這個波動狀態下歷史上跌的次數比漲多，是歷史傾向，不是當下訊號。走步回測（只算起始日前已到期的決策）方向命中 50%（101 次判定）、永遠猜漲 49%、永遠猜跌 51%，還不如永遠猜跌（差 2 個百分點）；預測區間實際涵蓋 53%（理想約 50%）。趨勢盤整、動能弱、VIX 15（第 35 分位）只記錄、不參與預測（2008 年起的走步研究裡它們對漲跌沒有預測力）。</t>
        </is>
      </c>
    </row>
    <row r="9">
      <c r="A9" t="inlineStr">
        <is>
          <t>2026-W42-0050.TW-H5</t>
        </is>
      </c>
      <c r="B9" t="inlineStr">
        <is>
          <t>即時</t>
        </is>
      </c>
      <c r="C9" t="inlineStr">
        <is>
          <t>2026-10-12</t>
        </is>
      </c>
      <c r="D9" t="inlineStr">
        <is>
          <t>v2</t>
        </is>
      </c>
      <c r="E9" t="inlineStr">
        <is>
          <t>短線</t>
        </is>
      </c>
      <c r="F9" s="8">
        <v>5</v>
      </c>
      <c r="G9" t="inlineStr">
        <is>
          <t>1週</t>
        </is>
      </c>
      <c r="H9" t="inlineStr">
        <is>
          <t>台股（台灣 50）</t>
        </is>
      </c>
      <c r="I9" t="inlineStr">
        <is>
          <t>0050.TW</t>
        </is>
      </c>
      <c r="J9" t="inlineStr">
        <is>
          <t>006208.TW</t>
        </is>
      </c>
      <c r="K9" t="inlineStr">
        <is>
          <t>2026-10-08</t>
        </is>
      </c>
      <c r="L9">
        <v>114.95</v>
      </c>
      <c r="M9">
        <v>114.95</v>
      </c>
      <c r="N9" t="inlineStr">
        <is>
          <t>2026-10-15</t>
        </is>
      </c>
      <c r="O9" t="inlineStr">
        <is>
          <t>https://finance.yahoo.com/quote/0050.TW/history</t>
        </is>
      </c>
      <c r="P9" s="8">
        <v>4348</v>
      </c>
      <c r="Q9" s="8">
        <v>4</v>
      </c>
      <c r="R9" t="inlineStr">
        <is>
          <t>通過</t>
        </is>
      </c>
      <c r="S9" s="7">
        <v>15.57</v>
      </c>
      <c r="T9" s="7">
        <v>12.84</v>
      </c>
      <c r="U9" s="7">
        <v>17.68</v>
      </c>
      <c r="V9" s="7">
        <v>54.41</v>
      </c>
      <c r="W9" t="inlineStr">
        <is>
          <t>中</t>
        </is>
      </c>
      <c r="X9">
        <v>107.199</v>
      </c>
      <c r="Y9">
        <v>90.5515</v>
      </c>
      <c r="Z9" s="7">
        <v>26.94</v>
      </c>
      <c r="AA9" t="inlineStr">
        <is>
          <t>多頭</t>
        </is>
      </c>
      <c r="AB9" s="7">
        <v>4.83</v>
      </c>
      <c r="AC9" s="7">
        <v>76.04</v>
      </c>
      <c r="AD9" t="inlineStr">
        <is>
          <t>強</t>
        </is>
      </c>
      <c r="AE9" s="7">
        <v>15.41</v>
      </c>
      <c r="AF9" s="7">
        <v>34.54</v>
      </c>
      <c r="AG9" t="inlineStr">
        <is>
          <t>同波動</t>
        </is>
      </c>
      <c r="AH9" s="8">
        <v>1439</v>
      </c>
      <c r="AI9" s="8">
        <v>287</v>
      </c>
      <c r="AJ9" s="7">
        <v>0.43</v>
      </c>
      <c r="AK9" s="7">
        <v>-1.15</v>
      </c>
      <c r="AL9" s="7">
        <v>1.93</v>
      </c>
      <c r="AM9" s="7">
        <v>57.75</v>
      </c>
      <c r="AN9" t="inlineStr">
        <is>
          <t>≥55% 偏漲；≤45% 偏跌；其餘不確定</t>
        </is>
      </c>
      <c r="AO9" t="inlineStr">
        <is>
          <t>偏漲</t>
        </is>
      </c>
      <c r="AP9" s="8">
        <v>441</v>
      </c>
      <c r="AQ9" s="7">
        <v>58.5</v>
      </c>
      <c r="AR9" s="7">
        <v>58.5</v>
      </c>
      <c r="AS9" s="7">
        <v>58.5</v>
      </c>
      <c r="AT9" s="7">
        <v>47.52</v>
      </c>
      <c r="AW9" t="inlineStr">
        <is>
          <t>VOL=中|TREND=多頭|MOM=強|VIXQ=1|SAMPLE=同波動|CALL=偏漲</t>
        </is>
      </c>
      <c r="AX9" t="inlineStr">
        <is>
          <t>S0 資料OK → S1 波動:中(第54分位) → S2 趨勢:多頭 → S3 動能:強(第76分位) → S4 VIX:15.4(第35分位) → S5 同波動樣本 287 段 → S6 偏漲(上漲機率58%)</t>
        </is>
      </c>
      <c r="AY9" t="inlineStr">
        <is>
          <t>過去台股（台灣 50）（0050.TW）波動屬「中」時，5 個交易日（約1週）後的漲跌中位數 +0.4%，一半的情況落在 −1.1%～+1.9%，上漲機率 58%（約 287 段獨立樣本）。判定偏漲，主要反映長期上漲傾向，不是當下訊號。走步回測（只算起始日前已到期的決策）方向命中 58%（441 次判定）、永遠猜漲 58%、永遠猜跌 42%，和永遠猜漲一樣準，沒有比較準；預測區間實際涵蓋 48%（理想約 50%）。趨勢多頭、動能強、VIX 15（第 35 分位）只記錄、不參與預測（2008 年起的走步研究裡它們對漲跌沒有預測力）。</t>
        </is>
      </c>
    </row>
    <row r="10">
      <c r="A10" t="inlineStr">
        <is>
          <t>2026-W42-2330.TW-H5</t>
        </is>
      </c>
      <c r="B10" t="inlineStr">
        <is>
          <t>即時</t>
        </is>
      </c>
      <c r="C10" t="inlineStr">
        <is>
          <t>2026-10-12</t>
        </is>
      </c>
      <c r="D10" t="inlineStr">
        <is>
          <t>v2</t>
        </is>
      </c>
      <c r="E10" t="inlineStr">
        <is>
          <t>短線</t>
        </is>
      </c>
      <c r="F10" s="8">
        <v>5</v>
      </c>
      <c r="G10" t="inlineStr">
        <is>
          <t>1週</t>
        </is>
      </c>
      <c r="H10" t="inlineStr">
        <is>
          <t>台積電</t>
        </is>
      </c>
      <c r="I10" t="inlineStr">
        <is>
          <t>2330.TW</t>
        </is>
      </c>
      <c r="J10" t="inlineStr">
        <is>
          <t>2330.TW</t>
        </is>
      </c>
      <c r="K10" t="inlineStr">
        <is>
          <t>2026-10-08</t>
        </is>
      </c>
      <c r="L10">
        <v>2550.0</v>
      </c>
      <c r="M10">
        <v>2550.0</v>
      </c>
      <c r="N10" t="inlineStr">
        <is>
          <t>2026-10-15</t>
        </is>
      </c>
      <c r="O10" t="inlineStr">
        <is>
          <t>https://finance.yahoo.com/quote/2330.TW/history</t>
        </is>
      </c>
      <c r="P10" s="8">
        <v>6654</v>
      </c>
      <c r="Q10" s="8">
        <v>4</v>
      </c>
      <c r="R10" t="inlineStr">
        <is>
          <t>通過</t>
        </is>
      </c>
      <c r="S10" s="7">
        <v>18.45</v>
      </c>
      <c r="T10" s="7">
        <v>21.53</v>
      </c>
      <c r="U10" s="7">
        <v>29.97</v>
      </c>
      <c r="V10" s="7">
        <v>17.2</v>
      </c>
      <c r="W10" t="inlineStr">
        <is>
          <t>低</t>
        </is>
      </c>
      <c r="X10">
        <v>2417.1888</v>
      </c>
      <c r="Y10">
        <v>2112.2958</v>
      </c>
      <c r="Z10" s="7">
        <v>20.72</v>
      </c>
      <c r="AA10" t="inlineStr">
        <is>
          <t>多頭</t>
        </is>
      </c>
      <c r="AB10" s="7">
        <v>3.54</v>
      </c>
      <c r="AC10" s="7">
        <v>62.72</v>
      </c>
      <c r="AD10" t="inlineStr">
        <is>
          <t>中</t>
        </is>
      </c>
      <c r="AE10" s="7">
        <v>15.41</v>
      </c>
      <c r="AF10" s="7">
        <v>34.54</v>
      </c>
      <c r="AG10" t="inlineStr">
        <is>
          <t>同波動</t>
        </is>
      </c>
      <c r="AH10" s="8">
        <v>2205</v>
      </c>
      <c r="AI10" s="8">
        <v>441</v>
      </c>
      <c r="AJ10" s="7">
        <v>0.44</v>
      </c>
      <c r="AK10" s="7">
        <v>-1.33</v>
      </c>
      <c r="AL10" s="7">
        <v>2.37</v>
      </c>
      <c r="AM10" s="7">
        <v>54.97</v>
      </c>
      <c r="AN10" t="inlineStr">
        <is>
          <t>≥55% 偏漲；≤45% 偏跌；其餘不確定</t>
        </is>
      </c>
      <c r="AO10" t="inlineStr">
        <is>
          <t>不確定</t>
        </is>
      </c>
      <c r="AP10" s="8">
        <v>70</v>
      </c>
      <c r="AQ10" s="7">
        <v>57.14</v>
      </c>
      <c r="AR10" s="7">
        <v>57.14</v>
      </c>
      <c r="AS10" s="7">
        <v>57.14</v>
      </c>
      <c r="AT10" s="7">
        <v>53.11</v>
      </c>
      <c r="AW10" t="inlineStr">
        <is>
          <t>VOL=低|TREND=多頭|MOM=中|VIXQ=1|SAMPLE=同波動|CALL=不確定</t>
        </is>
      </c>
      <c r="AX10" t="inlineStr">
        <is>
          <t>S0 資料OK → S1 波動:低(第17分位) → S2 趨勢:多頭 → S3 動能:中(第63分位) → S4 VIX:15.4(第35分位) → S5 同波動樣本 441 段 → S6 不確定(上漲機率55.0%)</t>
        </is>
      </c>
      <c r="AY10" t="inlineStr">
        <is>
          <t>過去台積電（2330.TW）波動屬「低」時，5 個交易日（約1週）後的漲跌中位數 +0.4%，一半的情況落在 −1.3%～+2.4%，上漲機率 55.0%（約 441 段獨立樣本）。上漲機率介於 45%～55% 之間，不做方向判斷。走步回測（只算起始日前已到期的決策）方向命中 57%（70 次判定）、永遠猜漲 57%、永遠猜跌 43%，和永遠猜漲一樣準，沒有比較準；預測區間實際涵蓋 53%（理想約 50%）。趨勢多頭、動能中、VIX 15（第 35 分位）只記錄、不參與預測（2008 年起的走步研究裡它們對漲跌沒有預測力）。</t>
        </is>
      </c>
    </row>
    <row r="11">
      <c r="A11" t="inlineStr">
        <is>
          <t>2026-W42-SOXX-H5</t>
        </is>
      </c>
      <c r="B11" t="inlineStr">
        <is>
          <t>即時</t>
        </is>
      </c>
      <c r="C11" t="inlineStr">
        <is>
          <t>2026-10-12</t>
        </is>
      </c>
      <c r="D11" t="inlineStr">
        <is>
          <t>v2</t>
        </is>
      </c>
      <c r="E11" t="inlineStr">
        <is>
          <t>短線</t>
        </is>
      </c>
      <c r="F11" s="8">
        <v>5</v>
      </c>
      <c r="G11" t="inlineStr">
        <is>
          <t>1週</t>
        </is>
      </c>
      <c r="H11" t="inlineStr">
        <is>
          <t>美國半導體</t>
        </is>
      </c>
      <c r="I11" t="inlineStr">
        <is>
          <t>SOXX</t>
        </is>
      </c>
      <c r="J11" t="inlineStr">
        <is>
          <t>00891.TW</t>
        </is>
      </c>
      <c r="K11" t="inlineStr">
        <is>
          <t>2026-10-09</t>
        </is>
      </c>
      <c r="L11">
        <v>559.4</v>
      </c>
      <c r="M11">
        <v>559.4</v>
      </c>
      <c r="N11" t="inlineStr">
        <is>
          <t>2026-10-16</t>
        </is>
      </c>
      <c r="O11" t="inlineStr">
        <is>
          <t>https://finance.yahoo.com/quote/SOXX/history</t>
        </is>
      </c>
      <c r="P11" s="8">
        <v>6348</v>
      </c>
      <c r="Q11" s="8">
        <v>3</v>
      </c>
      <c r="R11" t="inlineStr">
        <is>
          <t>通過</t>
        </is>
      </c>
      <c r="S11" s="7">
        <v>36.86</v>
      </c>
      <c r="T11" s="7">
        <v>21.34</v>
      </c>
      <c r="U11" s="7">
        <v>31.99</v>
      </c>
      <c r="V11" s="7">
        <v>78.79</v>
      </c>
      <c r="W11" t="inlineStr">
        <is>
          <t>高</t>
        </is>
      </c>
      <c r="X11">
        <v>537.1535</v>
      </c>
      <c r="Y11">
        <v>461.7526</v>
      </c>
      <c r="Z11" s="7">
        <v>21.15</v>
      </c>
      <c r="AA11" t="inlineStr">
        <is>
          <t>多頭</t>
        </is>
      </c>
      <c r="AB11" s="7">
        <v>6.2</v>
      </c>
      <c r="AC11" s="7">
        <v>73.7</v>
      </c>
      <c r="AD11" t="inlineStr">
        <is>
          <t>強</t>
        </is>
      </c>
      <c r="AE11" s="7">
        <v>15.41</v>
      </c>
      <c r="AF11" s="7">
        <v>34.54</v>
      </c>
      <c r="AG11" t="inlineStr">
        <is>
          <t>同波動</t>
        </is>
      </c>
      <c r="AH11" s="8">
        <v>2105</v>
      </c>
      <c r="AI11" s="8">
        <v>421</v>
      </c>
      <c r="AJ11" s="7">
        <v>0.46</v>
      </c>
      <c r="AK11" s="7">
        <v>-3.53</v>
      </c>
      <c r="AL11" s="7">
        <v>4.27</v>
      </c>
      <c r="AM11" s="7">
        <v>52.97</v>
      </c>
      <c r="AN11" t="inlineStr">
        <is>
          <t>≥55% 偏漲；≤45% 偏跌；其餘不確定</t>
        </is>
      </c>
      <c r="AO11" t="inlineStr">
        <is>
          <t>不確定</t>
        </is>
      </c>
      <c r="AP11" s="8">
        <v>295</v>
      </c>
      <c r="AQ11" s="7">
        <v>59.32</v>
      </c>
      <c r="AR11" s="7">
        <v>58.98</v>
      </c>
      <c r="AS11" s="7">
        <v>58.98</v>
      </c>
      <c r="AT11" s="7">
        <v>49.69</v>
      </c>
      <c r="AW11" t="inlineStr">
        <is>
          <t>VOL=高|TREND=多頭|MOM=強|VIXQ=1|SAMPLE=同波動|CALL=不確定</t>
        </is>
      </c>
      <c r="AX11" t="inlineStr">
        <is>
          <t>S0 資料OK → S1 波動:高(第79分位) → S2 趨勢:多頭 → S3 動能:強(第74分位) → S4 VIX:15.4(第35分位) → S5 同波動樣本 421 段 → S6 不確定(上漲機率53%)</t>
        </is>
      </c>
      <c r="AY11" t="inlineStr">
        <is>
          <t>過去美國半導體（SOXX）波動屬「高」時，5 個交易日（約1週）後的漲跌中位數 +0.5%，一半的情況落在 −3.5%～+4.3%，上漲機率 53%（約 421 段獨立樣本）。上漲機率介於 45%～55% 之間，不做方向判斷。走步回測（只算起始日前已到期的決策）方向命中 59%（295 次判定）、永遠猜漲 59%、永遠猜跌 41%，和永遠猜漲一樣準，沒有比較準；預測區間實際涵蓋 50%（理想約 50%）。趨勢多頭、動能強、VIX 15（第 35 分位）只記錄、不參與預測（2008 年起的走步研究裡它們對漲跌沒有預測力）。</t>
        </is>
      </c>
    </row>
    <row r="12">
      <c r="A12" t="inlineStr">
        <is>
          <t>2026-W42-SPY-H5</t>
        </is>
      </c>
      <c r="B12" t="inlineStr">
        <is>
          <t>即時</t>
        </is>
      </c>
      <c r="C12" t="inlineStr">
        <is>
          <t>2026-10-12</t>
        </is>
      </c>
      <c r="D12" t="inlineStr">
        <is>
          <t>v2</t>
        </is>
      </c>
      <c r="E12" t="inlineStr">
        <is>
          <t>短線</t>
        </is>
      </c>
      <c r="F12" s="8">
        <v>5</v>
      </c>
      <c r="G12" t="inlineStr">
        <is>
          <t>1週</t>
        </is>
      </c>
      <c r="H12" t="inlineStr">
        <is>
          <t>美股 S&amp;P 500</t>
        </is>
      </c>
      <c r="I12" t="inlineStr">
        <is>
          <t>SPY</t>
        </is>
      </c>
      <c r="J12" t="inlineStr">
        <is>
          <t>00646.TW</t>
        </is>
      </c>
      <c r="K12" t="inlineStr">
        <is>
          <t>2026-10-09</t>
        </is>
      </c>
      <c r="L12">
        <v>778.57</v>
      </c>
      <c r="M12">
        <v>778.57</v>
      </c>
      <c r="N12" t="inlineStr">
        <is>
          <t>2026-10-16</t>
        </is>
      </c>
      <c r="O12" t="inlineStr">
        <is>
          <t>https://finance.yahoo.com/quote/SPY/history</t>
        </is>
      </c>
      <c r="P12" s="8">
        <v>8482</v>
      </c>
      <c r="Q12" s="8">
        <v>3</v>
      </c>
      <c r="R12" t="inlineStr">
        <is>
          <t>通過</t>
        </is>
      </c>
      <c r="S12" s="7">
        <v>9.67</v>
      </c>
      <c r="T12" s="7">
        <v>10.4</v>
      </c>
      <c r="U12" s="7">
        <v>16.28</v>
      </c>
      <c r="V12" s="7">
        <v>27.14</v>
      </c>
      <c r="W12" t="inlineStr">
        <is>
          <t>低</t>
        </is>
      </c>
      <c r="X12">
        <v>766.2836</v>
      </c>
      <c r="Y12">
        <v>719.6578</v>
      </c>
      <c r="Z12" s="7">
        <v>8.19</v>
      </c>
      <c r="AA12" t="inlineStr">
        <is>
          <t>多頭</t>
        </is>
      </c>
      <c r="AB12" s="7">
        <v>2.12</v>
      </c>
      <c r="AC12" s="7">
        <v>58.82</v>
      </c>
      <c r="AD12" t="inlineStr">
        <is>
          <t>中</t>
        </is>
      </c>
      <c r="AE12" s="7">
        <v>15.41</v>
      </c>
      <c r="AF12" s="7">
        <v>34.54</v>
      </c>
      <c r="AG12" t="inlineStr">
        <is>
          <t>同波動</t>
        </is>
      </c>
      <c r="AH12" s="8">
        <v>2804</v>
      </c>
      <c r="AI12" s="8">
        <v>560</v>
      </c>
      <c r="AJ12" s="7">
        <v>0.29</v>
      </c>
      <c r="AK12" s="7">
        <v>-0.55</v>
      </c>
      <c r="AL12" s="7">
        <v>1.1</v>
      </c>
      <c r="AM12" s="7">
        <v>59.52</v>
      </c>
      <c r="AN12" t="inlineStr">
        <is>
          <t>≥55% 偏漲；≤45% 偏跌；其餘不確定</t>
        </is>
      </c>
      <c r="AO12" t="inlineStr">
        <is>
          <t>偏漲</t>
        </is>
      </c>
      <c r="AP12" s="8">
        <v>865</v>
      </c>
      <c r="AQ12" s="7">
        <v>61.04</v>
      </c>
      <c r="AR12" s="7">
        <v>61.04</v>
      </c>
      <c r="AS12" s="7">
        <v>61.04</v>
      </c>
      <c r="AT12" s="7">
        <v>49.59</v>
      </c>
      <c r="AW12" t="inlineStr">
        <is>
          <t>VOL=低|TREND=多頭|MOM=中|VIXQ=1|SAMPLE=同波動|CALL=偏漲</t>
        </is>
      </c>
      <c r="AX12" t="inlineStr">
        <is>
          <t>S0 資料OK → S1 波動:低(第27分位) → S2 趨勢:多頭 → S3 動能:中(第59分位) → S4 VIX:15.4(第35分位) → S5 同波動樣本 560 段 → S6 偏漲(上漲機率60%)</t>
        </is>
      </c>
      <c r="AY12" t="inlineStr">
        <is>
          <t>過去美股 S&amp;P 500（SPY）波動屬「低」時，5 個交易日（約1週）後的漲跌中位數 +0.3%，一半的情況落在 −0.6%～+1.1%，上漲機率 60%（約 560 段獨立樣本）。判定偏漲，主要反映長期上漲傾向，不是當下訊號。走步回測（只算起始日前已到期的決策）方向命中 61%（865 次判定）、永遠猜漲 61%、永遠猜跌 39%，和永遠猜漲一樣準，沒有比較準；預測區間實際涵蓋 50%（理想約 50%）。趨勢多頭、動能中、VIX 15（第 35 分位）只記錄、不參與預測（2008 年起的走步研究裡它們對漲跌沒有預測力）。</t>
        </is>
      </c>
    </row>
    <row r="13">
      <c r="A13" t="inlineStr">
        <is>
          <t>2026-W42-QQQ-H5</t>
        </is>
      </c>
      <c r="B13" t="inlineStr">
        <is>
          <t>即時</t>
        </is>
      </c>
      <c r="C13" t="inlineStr">
        <is>
          <t>2026-10-12</t>
        </is>
      </c>
      <c r="D13" t="inlineStr">
        <is>
          <t>v2</t>
        </is>
      </c>
      <c r="E13" t="inlineStr">
        <is>
          <t>短線</t>
        </is>
      </c>
      <c r="F13" s="8">
        <v>5</v>
      </c>
      <c r="G13" t="inlineStr">
        <is>
          <t>1週</t>
        </is>
      </c>
      <c r="H13" t="inlineStr">
        <is>
          <t>那斯達克 100</t>
        </is>
      </c>
      <c r="I13" t="inlineStr">
        <is>
          <t>QQQ</t>
        </is>
      </c>
      <c r="J13" t="inlineStr">
        <is>
          <t>00662.TW</t>
        </is>
      </c>
      <c r="K13" t="inlineStr">
        <is>
          <t>2026-10-09</t>
        </is>
      </c>
      <c r="L13">
        <v>751.27</v>
      </c>
      <c r="M13">
        <v>751.27</v>
      </c>
      <c r="N13" t="inlineStr">
        <is>
          <t>2026-10-16</t>
        </is>
      </c>
      <c r="O13" t="inlineStr">
        <is>
          <t>https://finance.yahoo.com/quote/QQQ/history</t>
        </is>
      </c>
      <c r="P13" s="8">
        <v>6940</v>
      </c>
      <c r="Q13" s="8">
        <v>3</v>
      </c>
      <c r="R13" t="inlineStr">
        <is>
          <t>通過</t>
        </is>
      </c>
      <c r="S13" s="7">
        <v>15.16</v>
      </c>
      <c r="T13" s="7">
        <v>14.43</v>
      </c>
      <c r="U13" s="7">
        <v>22.78</v>
      </c>
      <c r="V13" s="7">
        <v>37.33</v>
      </c>
      <c r="W13" t="inlineStr">
        <is>
          <t>中</t>
        </is>
      </c>
      <c r="X13">
        <v>724.0022</v>
      </c>
      <c r="Y13">
        <v>670.8764</v>
      </c>
      <c r="Z13" s="7">
        <v>11.98</v>
      </c>
      <c r="AA13" t="inlineStr">
        <is>
          <t>多頭</t>
        </is>
      </c>
      <c r="AB13" s="7">
        <v>5.2</v>
      </c>
      <c r="AC13" s="7">
        <v>77.4</v>
      </c>
      <c r="AD13" t="inlineStr">
        <is>
          <t>強</t>
        </is>
      </c>
      <c r="AE13" s="7">
        <v>15.41</v>
      </c>
      <c r="AF13" s="7">
        <v>34.54</v>
      </c>
      <c r="AG13" t="inlineStr">
        <is>
          <t>同波動</t>
        </is>
      </c>
      <c r="AH13" s="8">
        <v>2302</v>
      </c>
      <c r="AI13" s="8">
        <v>460</v>
      </c>
      <c r="AJ13" s="7">
        <v>0.72</v>
      </c>
      <c r="AK13" s="7">
        <v>-1.15</v>
      </c>
      <c r="AL13" s="7">
        <v>2.17</v>
      </c>
      <c r="AM13" s="7">
        <v>61.08</v>
      </c>
      <c r="AN13" t="inlineStr">
        <is>
          <t>≥55% 偏漲；≤45% 偏跌；其餘不確定</t>
        </is>
      </c>
      <c r="AO13" t="inlineStr">
        <is>
          <t>偏漲</t>
        </is>
      </c>
      <c r="AP13" s="8">
        <v>776</v>
      </c>
      <c r="AQ13" s="7">
        <v>60.57</v>
      </c>
      <c r="AR13" s="7">
        <v>60.44</v>
      </c>
      <c r="AS13" s="7">
        <v>60.44</v>
      </c>
      <c r="AT13" s="7">
        <v>51.43</v>
      </c>
      <c r="AW13" t="inlineStr">
        <is>
          <t>VOL=中|TREND=多頭|MOM=強|VIXQ=1|SAMPLE=同波動|CALL=偏漲</t>
        </is>
      </c>
      <c r="AX13" t="inlineStr">
        <is>
          <t>S0 資料OK → S1 波動:中(第37分位) → S2 趨勢:多頭 → S3 動能:強(第77分位) → S4 VIX:15.4(第35分位) → S5 同波動樣本 460 段 → S6 偏漲(上漲機率61%)</t>
        </is>
      </c>
      <c r="AY13" t="inlineStr">
        <is>
          <t>過去那斯達克 100（QQQ）波動屬「中」時，5 個交易日（約1週）後的漲跌中位數 +0.7%，一半的情況落在 −1.1%～+2.2%，上漲機率 61%（約 460 段獨立樣本）。判定偏漲，主要反映長期上漲傾向，不是當下訊號。走步回測（只算起始日前已到期的決策）方向命中 61%（776 次判定）、永遠猜漲 60%、永遠猜跌 40%，和永遠猜漲一樣準，沒有比較準；預測區間實際涵蓋 51%（理想約 50%）。趨勢多頭、動能強、VIX 15（第 35 分位）只記錄、不參與預測（2008 年起的走步研究裡它們對漲跌沒有預測力）。</t>
        </is>
      </c>
    </row>
    <row r="14">
      <c r="A14" t="inlineStr">
        <is>
          <t>2026-W42-EWJ-H5</t>
        </is>
      </c>
      <c r="B14" t="inlineStr">
        <is>
          <t>即時</t>
        </is>
      </c>
      <c r="C14" t="inlineStr">
        <is>
          <t>2026-10-12</t>
        </is>
      </c>
      <c r="D14" t="inlineStr">
        <is>
          <t>v2</t>
        </is>
      </c>
      <c r="E14" t="inlineStr">
        <is>
          <t>短線</t>
        </is>
      </c>
      <c r="F14" s="8">
        <v>5</v>
      </c>
      <c r="G14" t="inlineStr">
        <is>
          <t>1週</t>
        </is>
      </c>
      <c r="H14" t="inlineStr">
        <is>
          <t>日股</t>
        </is>
      </c>
      <c r="I14" t="inlineStr">
        <is>
          <t>EWJ</t>
        </is>
      </c>
      <c r="J14" t="inlineStr">
        <is>
          <t>00645.TW</t>
        </is>
      </c>
      <c r="K14" t="inlineStr">
        <is>
          <t>2026-10-09</t>
        </is>
      </c>
      <c r="L14">
        <v>97.86</v>
      </c>
      <c r="M14">
        <v>97.86</v>
      </c>
      <c r="N14" t="inlineStr">
        <is>
          <t>2026-10-16</t>
        </is>
      </c>
      <c r="O14" t="inlineStr">
        <is>
          <t>https://finance.yahoo.com/quote/EWJ/history</t>
        </is>
      </c>
      <c r="P14" s="8">
        <v>7691</v>
      </c>
      <c r="Q14" s="8">
        <v>3</v>
      </c>
      <c r="R14" t="inlineStr">
        <is>
          <t>通過</t>
        </is>
      </c>
      <c r="S14" s="7">
        <v>16.55</v>
      </c>
      <c r="T14" s="7">
        <v>14.96</v>
      </c>
      <c r="U14" s="7">
        <v>21.14</v>
      </c>
      <c r="V14" s="7">
        <v>43.63</v>
      </c>
      <c r="W14" t="inlineStr">
        <is>
          <t>中</t>
        </is>
      </c>
      <c r="X14">
        <v>96.715</v>
      </c>
      <c r="Y14">
        <v>90.5616</v>
      </c>
      <c r="Z14" s="7">
        <v>8.06</v>
      </c>
      <c r="AA14" t="inlineStr">
        <is>
          <t>多頭</t>
        </is>
      </c>
      <c r="AB14" s="7">
        <v>-0.71</v>
      </c>
      <c r="AC14" s="7">
        <v>38.94</v>
      </c>
      <c r="AD14" t="inlineStr">
        <is>
          <t>中</t>
        </is>
      </c>
      <c r="AE14" s="7">
        <v>15.41</v>
      </c>
      <c r="AF14" s="7">
        <v>34.54</v>
      </c>
      <c r="AG14" t="inlineStr">
        <is>
          <t>同波動</t>
        </is>
      </c>
      <c r="AH14" s="8">
        <v>2548</v>
      </c>
      <c r="AI14" s="8">
        <v>509</v>
      </c>
      <c r="AJ14" s="7">
        <v>0.18</v>
      </c>
      <c r="AK14" s="7">
        <v>-1.42</v>
      </c>
      <c r="AL14" s="7">
        <v>1.77</v>
      </c>
      <c r="AM14" s="7">
        <v>52.24</v>
      </c>
      <c r="AN14" t="inlineStr">
        <is>
          <t>≥55% 偏漲；≤45% 偏跌；其餘不確定</t>
        </is>
      </c>
      <c r="AO14" t="inlineStr">
        <is>
          <t>不確定</t>
        </is>
      </c>
      <c r="AP14" s="8">
        <v>22</v>
      </c>
      <c r="AQ14" s="7">
        <v>45.45</v>
      </c>
      <c r="AR14" s="7">
        <v>54.55</v>
      </c>
      <c r="AS14" s="7">
        <v>54.55</v>
      </c>
      <c r="AT14" s="7">
        <v>54.6</v>
      </c>
      <c r="AW14" t="inlineStr">
        <is>
          <t>VOL=中|TREND=多頭|MOM=中|VIXQ=1|SAMPLE=同波動|CALL=不確定</t>
        </is>
      </c>
      <c r="AX14" t="inlineStr">
        <is>
          <t>S0 資料OK → S1 波動:中(第44分位) → S2 趨勢:多頭 → S3 動能:中(第39分位) → S4 VIX:15.4(第35分位) → S5 同波動樣本 509 段 → S6 不確定(上漲機率52%)</t>
        </is>
      </c>
      <c r="AY14" t="inlineStr">
        <is>
          <t>過去日股（EWJ）波動屬「中」時，5 個交易日（約1週）後的漲跌中位數 +0.2%，一半的情況落在 −1.4%～+1.8%，上漲機率 52%（約 509 段獨立樣本）。上漲機率介於 45%～55% 之間，不做方向判斷。走步回測（只算起始日前已到期的決策）方向命中 45%（22 次判定）、永遠猜漲 55%、永遠猜跌 45%，還不如永遠猜漲（差 9 個百分點）；預測區間實際涵蓋 55%（理想約 50%）。趨勢多頭、動能中、VIX 15（第 35 分位）只記錄、不參與預測（2008 年起的走步研究裡它們對漲跌沒有預測力）。</t>
        </is>
      </c>
    </row>
    <row r="15">
      <c r="A15" t="inlineStr">
        <is>
          <t>2026-W42-EWH-H5</t>
        </is>
      </c>
      <c r="B15" t="inlineStr">
        <is>
          <t>即時</t>
        </is>
      </c>
      <c r="C15" t="inlineStr">
        <is>
          <t>2026-10-12</t>
        </is>
      </c>
      <c r="D15" t="inlineStr">
        <is>
          <t>v2</t>
        </is>
      </c>
      <c r="E15" t="inlineStr">
        <is>
          <t>短線</t>
        </is>
      </c>
      <c r="F15" s="8">
        <v>5</v>
      </c>
      <c r="G15" t="inlineStr">
        <is>
          <t>1週</t>
        </is>
      </c>
      <c r="H15" t="inlineStr">
        <is>
          <t>港股</t>
        </is>
      </c>
      <c r="I15" t="inlineStr">
        <is>
          <t>EWH</t>
        </is>
      </c>
      <c r="J15" t="inlineStr">
        <is>
          <t>無</t>
        </is>
      </c>
      <c r="K15" t="inlineStr">
        <is>
          <t>2026-10-09</t>
        </is>
      </c>
      <c r="L15">
        <v>22.06</v>
      </c>
      <c r="M15">
        <v>22.06</v>
      </c>
      <c r="N15" t="inlineStr">
        <is>
          <t>2026-10-16</t>
        </is>
      </c>
      <c r="O15" t="inlineStr">
        <is>
          <t>https://finance.yahoo.com/quote/EWH/history</t>
        </is>
      </c>
      <c r="P15" s="8">
        <v>7691</v>
      </c>
      <c r="Q15" s="8">
        <v>3</v>
      </c>
      <c r="R15" t="inlineStr">
        <is>
          <t>通過</t>
        </is>
      </c>
      <c r="S15" s="7">
        <v>17.13</v>
      </c>
      <c r="T15" s="7">
        <v>15.83</v>
      </c>
      <c r="U15" s="7">
        <v>23.13</v>
      </c>
      <c r="V15" s="7">
        <v>42.28</v>
      </c>
      <c r="W15" t="inlineStr">
        <is>
          <t>中</t>
        </is>
      </c>
      <c r="X15">
        <v>22.5658</v>
      </c>
      <c r="Y15">
        <v>22.5373</v>
      </c>
      <c r="Z15" s="7">
        <v>-2.12</v>
      </c>
      <c r="AA15" t="inlineStr">
        <is>
          <t>盤整</t>
        </is>
      </c>
      <c r="AB15" s="7">
        <v>-2.04</v>
      </c>
      <c r="AC15" s="7">
        <v>30.54</v>
      </c>
      <c r="AD15" t="inlineStr">
        <is>
          <t>弱</t>
        </is>
      </c>
      <c r="AE15" s="7">
        <v>15.41</v>
      </c>
      <c r="AF15" s="7">
        <v>34.54</v>
      </c>
      <c r="AG15" t="inlineStr">
        <is>
          <t>同波動</t>
        </is>
      </c>
      <c r="AH15" s="8">
        <v>2549</v>
      </c>
      <c r="AI15" s="8">
        <v>509</v>
      </c>
      <c r="AJ15" s="7">
        <v>0.13</v>
      </c>
      <c r="AK15" s="7">
        <v>-1.75</v>
      </c>
      <c r="AL15" s="7">
        <v>1.84</v>
      </c>
      <c r="AM15" s="7">
        <v>51.35</v>
      </c>
      <c r="AN15" t="inlineStr">
        <is>
          <t>≥55% 偏漲；≤45% 偏跌；其餘不確定</t>
        </is>
      </c>
      <c r="AO15" t="inlineStr">
        <is>
          <t>不確定</t>
        </is>
      </c>
      <c r="AP15" s="8">
        <v>481</v>
      </c>
      <c r="AQ15" s="7">
        <v>53.85</v>
      </c>
      <c r="AR15" s="7">
        <v>53.85</v>
      </c>
      <c r="AS15" s="7">
        <v>53.85</v>
      </c>
      <c r="AT15" s="7">
        <v>49.18</v>
      </c>
      <c r="AW15" t="inlineStr">
        <is>
          <t>VOL=中|TREND=盤整|MOM=弱|VIXQ=1|SAMPLE=同波動|CALL=不確定</t>
        </is>
      </c>
      <c r="AX15" t="inlineStr">
        <is>
          <t>S0 資料OK → S1 波動:中(第42分位) → S2 趨勢:盤整 → S3 動能:弱(第31分位) → S4 VIX:15.4(第35分位) → S5 同波動樣本 509 段 → S6 不確定(上漲機率51%)</t>
        </is>
      </c>
      <c r="AY15" t="inlineStr">
        <is>
          <t>過去港股（EWH）波動屬「中」時，5 個交易日（約1週）後的漲跌中位數 +0.1%，一半的情況落在 −1.8%～+1.8%，上漲機率 51%（約 509 段獨立樣本）。上漲機率介於 45%～55% 之間，不做方向判斷。走步回測（只算起始日前已到期的決策）方向命中 54%（481 次判定）、永遠猜漲 54%、永遠猜跌 46%，和永遠猜漲一樣準，沒有比較準；預測區間實際涵蓋 49%（理想約 50%）。趨勢盤整、動能弱、VIX 15（第 35 分位）只記錄、不參與預測（2008 年起的走步研究裡它們對漲跌沒有預測力）。</t>
        </is>
      </c>
    </row>
    <row r="16">
      <c r="A16" t="inlineStr">
        <is>
          <t>2026-W42-USO-H5</t>
        </is>
      </c>
      <c r="B16" t="inlineStr">
        <is>
          <t>即時</t>
        </is>
      </c>
      <c r="C16" t="inlineStr">
        <is>
          <t>2026-10-12</t>
        </is>
      </c>
      <c r="D16" t="inlineStr">
        <is>
          <t>v2</t>
        </is>
      </c>
      <c r="E16" t="inlineStr">
        <is>
          <t>短線</t>
        </is>
      </c>
      <c r="F16" s="8">
        <v>5</v>
      </c>
      <c r="G16" t="inlineStr">
        <is>
          <t>1週</t>
        </is>
      </c>
      <c r="H16" t="inlineStr">
        <is>
          <t>原油</t>
        </is>
      </c>
      <c r="I16" t="inlineStr">
        <is>
          <t>USO</t>
        </is>
      </c>
      <c r="J16" t="inlineStr">
        <is>
          <t>00642U.TW</t>
        </is>
      </c>
      <c r="K16" t="inlineStr">
        <is>
          <t>2026-10-09</t>
        </is>
      </c>
      <c r="L16">
        <v>148.2</v>
      </c>
      <c r="M16">
        <v>148.2</v>
      </c>
      <c r="N16" t="inlineStr">
        <is>
          <t>2026-10-16</t>
        </is>
      </c>
      <c r="O16" t="inlineStr">
        <is>
          <t>https://finance.yahoo.com/quote/USO/history</t>
        </is>
      </c>
      <c r="P16" s="8">
        <v>5158</v>
      </c>
      <c r="Q16" s="8">
        <v>3</v>
      </c>
      <c r="R16" t="inlineStr">
        <is>
          <t>通過</t>
        </is>
      </c>
      <c r="S16" s="7">
        <v>39.6</v>
      </c>
      <c r="T16" s="7">
        <v>23.9</v>
      </c>
      <c r="U16" s="7">
        <v>33.8</v>
      </c>
      <c r="V16" s="7">
        <v>79.6</v>
      </c>
      <c r="W16" t="inlineStr">
        <is>
          <t>高</t>
        </is>
      </c>
      <c r="X16">
        <v>139.1642</v>
      </c>
      <c r="Y16">
        <v>117.1202</v>
      </c>
      <c r="Z16" s="7">
        <v>26.54</v>
      </c>
      <c r="AA16" t="inlineStr">
        <is>
          <t>多頭</t>
        </is>
      </c>
      <c r="AB16" s="7">
        <v>-4.33</v>
      </c>
      <c r="AC16" s="7">
        <v>29.47</v>
      </c>
      <c r="AD16" t="inlineStr">
        <is>
          <t>弱</t>
        </is>
      </c>
      <c r="AE16" s="7">
        <v>15.41</v>
      </c>
      <c r="AF16" s="7">
        <v>34.54</v>
      </c>
      <c r="AG16" t="inlineStr">
        <is>
          <t>同波動</t>
        </is>
      </c>
      <c r="AH16" s="8">
        <v>1708</v>
      </c>
      <c r="AI16" s="8">
        <v>341</v>
      </c>
      <c r="AJ16" s="7">
        <v>0.3</v>
      </c>
      <c r="AK16" s="7">
        <v>-4.01</v>
      </c>
      <c r="AL16" s="7">
        <v>4.09</v>
      </c>
      <c r="AM16" s="7">
        <v>52.17</v>
      </c>
      <c r="AN16" t="inlineStr">
        <is>
          <t>≥55% 偏漲；≤45% 偏跌；其餘不確定</t>
        </is>
      </c>
      <c r="AO16" t="inlineStr">
        <is>
          <t>不確定</t>
        </is>
      </c>
      <c r="AP16" s="8">
        <v>16</v>
      </c>
      <c r="AQ16" s="7">
        <v>43.75</v>
      </c>
      <c r="AR16" s="7">
        <v>43.75</v>
      </c>
      <c r="AS16" s="7">
        <v>56.25</v>
      </c>
      <c r="AT16" s="7">
        <v>50.64</v>
      </c>
      <c r="AW16" t="inlineStr">
        <is>
          <t>VOL=高|TREND=多頭|MOM=弱|VIXQ=1|SAMPLE=同波動|CALL=不確定</t>
        </is>
      </c>
      <c r="AX16" t="inlineStr">
        <is>
          <t>S0 資料OK → S1 波動:高(第80分位) → S2 趨勢:多頭 → S3 動能:弱(第29分位) → S4 VIX:15.4(第35分位) → S5 同波動樣本 341 段 → S6 不確定(上漲機率52%)</t>
        </is>
      </c>
      <c r="AY16" t="inlineStr">
        <is>
          <t>過去原油（USO）波動屬「高」時，5 個交易日（約1週）後的漲跌中位數 +0.3%，一半的情況落在 −4.0%～+4.1%，上漲機率 52%（約 341 段獨立樣本）。上漲機率介於 45%～55% 之間，不做方向判斷。走步回測（只算起始日前已到期的決策）方向命中 44%（16 次判定）、永遠猜漲 44%、永遠猜跌 56%，還不如永遠猜跌（差 12 個百分點）；預測區間實際涵蓋 51%（理想約 50%）。趨勢多頭、動能弱、VIX 15（第 35 分位）只記錄、不參與預測（2008 年起的走步研究裡它們對漲跌沒有預測力）。</t>
        </is>
      </c>
    </row>
    <row r="17">
      <c r="A17" t="inlineStr">
        <is>
          <t>2026-W42-UNG-H5</t>
        </is>
      </c>
      <c r="B17" t="inlineStr">
        <is>
          <t>即時</t>
        </is>
      </c>
      <c r="C17" t="inlineStr">
        <is>
          <t>2026-10-12</t>
        </is>
      </c>
      <c r="D17" t="inlineStr">
        <is>
          <t>v2</t>
        </is>
      </c>
      <c r="E17" t="inlineStr">
        <is>
          <t>短線</t>
        </is>
      </c>
      <c r="F17" s="8">
        <v>5</v>
      </c>
      <c r="G17" t="inlineStr">
        <is>
          <t>1週</t>
        </is>
      </c>
      <c r="H17" t="inlineStr">
        <is>
          <t>天然氣</t>
        </is>
      </c>
      <c r="I17" t="inlineStr">
        <is>
          <t>UNG</t>
        </is>
      </c>
      <c r="J17" t="inlineStr">
        <is>
          <t>無</t>
        </is>
      </c>
      <c r="K17" t="inlineStr">
        <is>
          <t>2026-10-09</t>
        </is>
      </c>
      <c r="L17">
        <v>11.01</v>
      </c>
      <c r="M17">
        <v>11.01</v>
      </c>
      <c r="N17" t="inlineStr">
        <is>
          <t>2026-10-16</t>
        </is>
      </c>
      <c r="O17" t="inlineStr">
        <is>
          <t>https://finance.yahoo.com/quote/UNG/history</t>
        </is>
      </c>
      <c r="P17" s="8">
        <v>4902</v>
      </c>
      <c r="Q17" s="8">
        <v>3</v>
      </c>
      <c r="R17" t="inlineStr">
        <is>
          <t>通過</t>
        </is>
      </c>
      <c r="S17" s="7">
        <v>43.54</v>
      </c>
      <c r="T17" s="7">
        <v>33.09</v>
      </c>
      <c r="U17" s="7">
        <v>48.66</v>
      </c>
      <c r="V17" s="7">
        <v>55.94</v>
      </c>
      <c r="W17" t="inlineStr">
        <is>
          <t>中</t>
        </is>
      </c>
      <c r="X17">
        <v>10.3518</v>
      </c>
      <c r="Y17">
        <v>11.3225</v>
      </c>
      <c r="Z17" s="7">
        <v>-2.76</v>
      </c>
      <c r="AA17" t="inlineStr">
        <is>
          <t>空頭</t>
        </is>
      </c>
      <c r="AB17" s="7">
        <v>8.26</v>
      </c>
      <c r="AC17" s="7">
        <v>80.97</v>
      </c>
      <c r="AD17" t="inlineStr">
        <is>
          <t>強</t>
        </is>
      </c>
      <c r="AE17" s="7">
        <v>15.41</v>
      </c>
      <c r="AF17" s="7">
        <v>34.54</v>
      </c>
      <c r="AG17" t="inlineStr">
        <is>
          <t>同波動</t>
        </is>
      </c>
      <c r="AH17" s="8">
        <v>1624</v>
      </c>
      <c r="AI17" s="8">
        <v>324</v>
      </c>
      <c r="AJ17" s="7">
        <v>-0.34</v>
      </c>
      <c r="AK17" s="7">
        <v>-4.45</v>
      </c>
      <c r="AL17" s="7">
        <v>3.88</v>
      </c>
      <c r="AM17" s="7">
        <v>47.66</v>
      </c>
      <c r="AN17" t="inlineStr">
        <is>
          <t>≥55% 偏漲；≤45% 偏跌；其餘不確定</t>
        </is>
      </c>
      <c r="AO17" t="inlineStr">
        <is>
          <t>不確定</t>
        </is>
      </c>
      <c r="AP17" s="8">
        <v>431</v>
      </c>
      <c r="AQ17" s="7">
        <v>53.6</v>
      </c>
      <c r="AR17" s="7">
        <v>45.71</v>
      </c>
      <c r="AS17" s="7">
        <v>54.29</v>
      </c>
      <c r="AT17" s="7">
        <v>52.41</v>
      </c>
      <c r="AW17" t="inlineStr">
        <is>
          <t>VOL=中|TREND=空頭|MOM=強|VIXQ=1|SAMPLE=同波動|CALL=不確定</t>
        </is>
      </c>
      <c r="AX17" t="inlineStr">
        <is>
          <t>S0 資料OK → S1 波動:中(第56分位) → S2 趨勢:空頭 → S3 動能:強(第81分位) → S4 VIX:15.4(第35分位) → S5 同波動樣本 324 段 → S6 不確定(上漲機率48%)</t>
        </is>
      </c>
      <c r="AY17" t="inlineStr">
        <is>
          <t>過去天然氣（UNG）波動屬「中」時，5 個交易日（約1週）後的漲跌中位數 −0.3%，一半的情況落在 −4.5%～+3.9%，上漲機率 48%（約 324 段獨立樣本）。上漲機率介於 45%～55% 之間，不做方向判斷。走步回測（只算起始日前已到期的決策）方向命中 54%（431 次判定）、永遠猜漲 46%、永遠猜跌 54%，還不如永遠猜跌（差 1 個百分點）；預測區間實際涵蓋 52%（理想約 50%）。趨勢空頭、動能強、VIX 15（第 35 分位）只記錄、不參與預測（2008 年起的走步研究裡它們對漲跌沒有預測力）。</t>
        </is>
      </c>
    </row>
    <row r="18">
      <c r="A18" t="inlineStr">
        <is>
          <t>2026-W42-CPER-H5</t>
        </is>
      </c>
      <c r="B18" t="inlineStr">
        <is>
          <t>即時</t>
        </is>
      </c>
      <c r="C18" t="inlineStr">
        <is>
          <t>2026-10-12</t>
        </is>
      </c>
      <c r="D18" t="inlineStr">
        <is>
          <t>v2</t>
        </is>
      </c>
      <c r="E18" t="inlineStr">
        <is>
          <t>短線</t>
        </is>
      </c>
      <c r="F18" s="8">
        <v>5</v>
      </c>
      <c r="G18" t="inlineStr">
        <is>
          <t>1週</t>
        </is>
      </c>
      <c r="H18" t="inlineStr">
        <is>
          <t>銅</t>
        </is>
      </c>
      <c r="I18" t="inlineStr">
        <is>
          <t>CPER</t>
        </is>
      </c>
      <c r="J18" t="inlineStr">
        <is>
          <t>無</t>
        </is>
      </c>
      <c r="K18" t="inlineStr">
        <is>
          <t>2026-10-09</t>
        </is>
      </c>
      <c r="L18">
        <v>40.31</v>
      </c>
      <c r="M18">
        <v>40.31</v>
      </c>
      <c r="N18" t="inlineStr">
        <is>
          <t>2026-10-16</t>
        </is>
      </c>
      <c r="O18" t="inlineStr">
        <is>
          <t>https://finance.yahoo.com/quote/CPER/history</t>
        </is>
      </c>
      <c r="P18" s="8">
        <v>3746</v>
      </c>
      <c r="Q18" s="8">
        <v>3</v>
      </c>
      <c r="R18" t="inlineStr">
        <is>
          <t>通過</t>
        </is>
      </c>
      <c r="S18" s="7">
        <v>21.73</v>
      </c>
      <c r="T18" s="7">
        <v>17.37</v>
      </c>
      <c r="U18" s="7">
        <v>23.43</v>
      </c>
      <c r="V18" s="7">
        <v>58.4</v>
      </c>
      <c r="W18" t="inlineStr">
        <is>
          <t>中</t>
        </is>
      </c>
      <c r="X18">
        <v>39.9056</v>
      </c>
      <c r="Y18">
        <v>37.611</v>
      </c>
      <c r="Z18" s="7">
        <v>7.18</v>
      </c>
      <c r="AA18" t="inlineStr">
        <is>
          <t>多頭</t>
        </is>
      </c>
      <c r="AB18" s="7">
        <v>2.88</v>
      </c>
      <c r="AC18" s="7">
        <v>67.85</v>
      </c>
      <c r="AD18" t="inlineStr">
        <is>
          <t>強</t>
        </is>
      </c>
      <c r="AE18" s="7">
        <v>15.41</v>
      </c>
      <c r="AF18" s="7">
        <v>34.54</v>
      </c>
      <c r="AG18" t="inlineStr">
        <is>
          <t>同波動</t>
        </is>
      </c>
      <c r="AH18" s="8">
        <v>1241</v>
      </c>
      <c r="AI18" s="8">
        <v>248</v>
      </c>
      <c r="AJ18" s="7">
        <v>-0.04</v>
      </c>
      <c r="AK18" s="7">
        <v>-1.94</v>
      </c>
      <c r="AL18" s="7">
        <v>1.84</v>
      </c>
      <c r="AM18" s="7">
        <v>48.51</v>
      </c>
      <c r="AN18" t="inlineStr">
        <is>
          <t>≥55% 偏漲；≤45% 偏跌；其餘不確定</t>
        </is>
      </c>
      <c r="AO18" t="inlineStr">
        <is>
          <t>不確定</t>
        </is>
      </c>
      <c r="AP18" s="8">
        <v>111</v>
      </c>
      <c r="AQ18" s="7">
        <v>45.95</v>
      </c>
      <c r="AR18" s="7">
        <v>53.15</v>
      </c>
      <c r="AS18" s="7">
        <v>53.15</v>
      </c>
      <c r="AT18" s="7">
        <v>46.92</v>
      </c>
      <c r="AW18" t="inlineStr">
        <is>
          <t>VOL=中|TREND=多頭|MOM=強|VIXQ=1|SAMPLE=同波動|CALL=不確定</t>
        </is>
      </c>
      <c r="AX18" t="inlineStr">
        <is>
          <t>S0 資料OK → S1 波動:中(第58分位) → S2 趨勢:多頭 → S3 動能:強(第68分位) → S4 VIX:15.4(第35分位) → S5 同波動樣本 248 段 → S6 不確定(上漲機率49%)</t>
        </is>
      </c>
      <c r="AY18" t="inlineStr">
        <is>
          <t>過去銅（CPER）波動屬「中」時，5 個交易日（約1週）後的漲跌中位數 0.0%，一半的情況落在 −1.9%～+1.8%，上漲機率 49%（約 248 段獨立樣本）。上漲機率介於 45%～55% 之間，不做方向判斷。走步回測（只算起始日前已到期的決策）方向命中 46%（111 次判定）、永遠猜漲 53%、永遠猜跌 47%，還不如永遠猜漲（差 7 個百分點）；預測區間實際涵蓋 47%（理想約 50%）。趨勢多頭、動能強、VIX 15（第 35 分位）只記錄、不參與預測（2008 年起的走步研究裡它們對漲跌沒有預測力）。</t>
        </is>
      </c>
    </row>
    <row r="19">
      <c r="A19" t="inlineStr">
        <is>
          <t>2026-W42-SLV-H5</t>
        </is>
      </c>
      <c r="B19" t="inlineStr">
        <is>
          <t>即時</t>
        </is>
      </c>
      <c r="C19" t="inlineStr">
        <is>
          <t>2026-10-12</t>
        </is>
      </c>
      <c r="D19" t="inlineStr">
        <is>
          <t>v2</t>
        </is>
      </c>
      <c r="E19" t="inlineStr">
        <is>
          <t>短線</t>
        </is>
      </c>
      <c r="F19" s="8">
        <v>5</v>
      </c>
      <c r="G19" t="inlineStr">
        <is>
          <t>1週</t>
        </is>
      </c>
      <c r="H19" t="inlineStr">
        <is>
          <t>白銀</t>
        </is>
      </c>
      <c r="I19" t="inlineStr">
        <is>
          <t>SLV</t>
        </is>
      </c>
      <c r="J19" t="inlineStr">
        <is>
          <t>無</t>
        </is>
      </c>
      <c r="K19" t="inlineStr">
        <is>
          <t>2026-10-09</t>
        </is>
      </c>
      <c r="L19">
        <v>54.78</v>
      </c>
      <c r="M19">
        <v>54.78</v>
      </c>
      <c r="N19" t="inlineStr">
        <is>
          <t>2026-10-16</t>
        </is>
      </c>
      <c r="O19" t="inlineStr">
        <is>
          <t>https://finance.yahoo.com/quote/SLV/history</t>
        </is>
      </c>
      <c r="P19" s="8">
        <v>5145</v>
      </c>
      <c r="Q19" s="8">
        <v>3</v>
      </c>
      <c r="R19" t="inlineStr">
        <is>
          <t>通過</t>
        </is>
      </c>
      <c r="S19" s="7">
        <v>34.81</v>
      </c>
      <c r="T19" s="7">
        <v>21.63</v>
      </c>
      <c r="U19" s="7">
        <v>30.13</v>
      </c>
      <c r="V19" s="7">
        <v>77.07</v>
      </c>
      <c r="W19" t="inlineStr">
        <is>
          <t>高</t>
        </is>
      </c>
      <c r="X19">
        <v>57.9434</v>
      </c>
      <c r="Y19">
        <v>65.7736</v>
      </c>
      <c r="Z19" s="7">
        <v>-16.71</v>
      </c>
      <c r="AA19" t="inlineStr">
        <is>
          <t>空頭</t>
        </is>
      </c>
      <c r="AB19" s="7">
        <v>-5.75</v>
      </c>
      <c r="AC19" s="7">
        <v>20.31</v>
      </c>
      <c r="AD19" t="inlineStr">
        <is>
          <t>弱</t>
        </is>
      </c>
      <c r="AE19" s="7">
        <v>15.41</v>
      </c>
      <c r="AF19" s="7">
        <v>34.54</v>
      </c>
      <c r="AG19" t="inlineStr">
        <is>
          <t>同波動</t>
        </is>
      </c>
      <c r="AH19" s="8">
        <v>1704</v>
      </c>
      <c r="AI19" s="8">
        <v>340</v>
      </c>
      <c r="AJ19" s="7">
        <v>0.51</v>
      </c>
      <c r="AK19" s="7">
        <v>-2.77</v>
      </c>
      <c r="AL19" s="7">
        <v>4.05</v>
      </c>
      <c r="AM19" s="7">
        <v>54.11</v>
      </c>
      <c r="AN19" t="inlineStr">
        <is>
          <t>≥55% 偏漲；≤45% 偏跌；其餘不確定</t>
        </is>
      </c>
      <c r="AO19" t="inlineStr">
        <is>
          <t>不確定</t>
        </is>
      </c>
      <c r="AP19" s="8">
        <v>163</v>
      </c>
      <c r="AQ19" s="7">
        <v>49.08</v>
      </c>
      <c r="AR19" s="7">
        <v>49.08</v>
      </c>
      <c r="AS19" s="7">
        <v>50.92</v>
      </c>
      <c r="AT19" s="7">
        <v>53.67</v>
      </c>
      <c r="AW19" t="inlineStr">
        <is>
          <t>VOL=高|TREND=空頭|MOM=弱|VIXQ=1|SAMPLE=同波動|CALL=不確定</t>
        </is>
      </c>
      <c r="AX19" t="inlineStr">
        <is>
          <t>S0 資料OK → S1 波動:高(第77分位) → S2 趨勢:空頭 → S3 動能:弱(第20分位) → S4 VIX:15.4(第35分位) → S5 同波動樣本 340 段 → S6 不確定(上漲機率54%)</t>
        </is>
      </c>
      <c r="AY19" t="inlineStr">
        <is>
          <t>過去白銀（SLV）波動屬「高」時，5 個交易日（約1週）後的漲跌中位數 +0.5%，一半的情況落在 −2.8%～+4.0%，上漲機率 54%（約 340 段獨立樣本）。上漲機率介於 45%～55% 之間，不做方向判斷。走步回測（只算起始日前已到期的決策）方向命中 49%（163 次判定）、永遠猜漲 49%、永遠猜跌 51%，還不如永遠猜跌（差 2 個百分點）；預測區間實際涵蓋 54%（理想約 50%）。趨勢空頭、動能弱、VIX 15（第 35 分位）只記錄、不參與預測（2008 年起的走步研究裡它們對漲跌沒有預測力）。</t>
        </is>
      </c>
    </row>
    <row r="20">
      <c r="A20" t="inlineStr">
        <is>
          <t>2026-W42-PPLT-H5</t>
        </is>
      </c>
      <c r="B20" t="inlineStr">
        <is>
          <t>即時</t>
        </is>
      </c>
      <c r="C20" t="inlineStr">
        <is>
          <t>2026-10-12</t>
        </is>
      </c>
      <c r="D20" t="inlineStr">
        <is>
          <t>v2</t>
        </is>
      </c>
      <c r="E20" t="inlineStr">
        <is>
          <t>短線</t>
        </is>
      </c>
      <c r="F20" s="8">
        <v>5</v>
      </c>
      <c r="G20" t="inlineStr">
        <is>
          <t>1週</t>
        </is>
      </c>
      <c r="H20" t="inlineStr">
        <is>
          <t>白金</t>
        </is>
      </c>
      <c r="I20" t="inlineStr">
        <is>
          <t>PPLT</t>
        </is>
      </c>
      <c r="J20" t="inlineStr">
        <is>
          <t>無</t>
        </is>
      </c>
      <c r="K20" t="inlineStr">
        <is>
          <t>2026-10-09</t>
        </is>
      </c>
      <c r="L20">
        <v>15.25</v>
      </c>
      <c r="M20">
        <v>15.25</v>
      </c>
      <c r="N20" t="inlineStr">
        <is>
          <t>2026-10-16</t>
        </is>
      </c>
      <c r="O20" t="inlineStr">
        <is>
          <t>https://finance.yahoo.com/quote/PPLT/history</t>
        </is>
      </c>
      <c r="P20" s="8">
        <v>4214</v>
      </c>
      <c r="Q20" s="8">
        <v>3</v>
      </c>
      <c r="R20" t="inlineStr">
        <is>
          <t>通過</t>
        </is>
      </c>
      <c r="S20" s="7">
        <v>31.41</v>
      </c>
      <c r="T20" s="7">
        <v>17.55</v>
      </c>
      <c r="U20" s="7">
        <v>24.45</v>
      </c>
      <c r="V20" s="7">
        <v>86.67</v>
      </c>
      <c r="W20" t="inlineStr">
        <is>
          <t>高</t>
        </is>
      </c>
      <c r="X20">
        <v>15.9712</v>
      </c>
      <c r="Y20">
        <v>17.6246</v>
      </c>
      <c r="Z20" s="7">
        <v>-13.47</v>
      </c>
      <c r="AA20" t="inlineStr">
        <is>
          <t>空頭</t>
        </is>
      </c>
      <c r="AB20" s="7">
        <v>-6.21</v>
      </c>
      <c r="AC20" s="7">
        <v>15.19</v>
      </c>
      <c r="AD20" t="inlineStr">
        <is>
          <t>弱</t>
        </is>
      </c>
      <c r="AE20" s="7">
        <v>15.41</v>
      </c>
      <c r="AF20" s="7">
        <v>34.54</v>
      </c>
      <c r="AG20" t="inlineStr">
        <is>
          <t>同波動</t>
        </is>
      </c>
      <c r="AH20" s="8">
        <v>1394</v>
      </c>
      <c r="AI20" s="8">
        <v>278</v>
      </c>
      <c r="AJ20" s="7">
        <v>0.34</v>
      </c>
      <c r="AK20" s="7">
        <v>-2.09</v>
      </c>
      <c r="AL20" s="7">
        <v>2.89</v>
      </c>
      <c r="AM20" s="7">
        <v>54.09</v>
      </c>
      <c r="AN20" t="inlineStr">
        <is>
          <t>≥55% 偏漲；≤45% 偏跌；其餘不確定</t>
        </is>
      </c>
      <c r="AO20" t="inlineStr">
        <is>
          <t>不確定</t>
        </is>
      </c>
      <c r="AP20" s="8">
        <v>6</v>
      </c>
      <c r="AQ20" s="7">
        <v>33.33</v>
      </c>
      <c r="AR20" s="7">
        <v>66.67</v>
      </c>
      <c r="AS20" s="7">
        <v>66.67</v>
      </c>
      <c r="AT20" s="7">
        <v>47.6</v>
      </c>
      <c r="AW20" t="inlineStr">
        <is>
          <t>VOL=高|TREND=空頭|MOM=弱|VIXQ=1|SAMPLE=同波動|CALL=不確定</t>
        </is>
      </c>
      <c r="AX20" t="inlineStr">
        <is>
          <t>S0 資料OK → S1 波動:高(第87分位) → S2 趨勢:空頭 → S3 動能:弱(第15分位) → S4 VIX:15.4(第35分位) → S5 同波動樣本 278 段 → S6 不確定(上漲機率54%)</t>
        </is>
      </c>
      <c r="AY20" t="inlineStr">
        <is>
          <t>過去白金（PPLT）波動屬「高」時，5 個交易日（約1週）後的漲跌中位數 +0.3%，一半的情況落在 −2.1%～+2.9%，上漲機率 54%（約 278 段獨立樣本）。上漲機率介於 45%～55% 之間，不做方向判斷。走步回測（只算起始日前已到期的決策）方向命中 33%（6 次判定）、永遠猜漲 67%、永遠猜跌 33%，還不如永遠猜漲（差 33 個百分點）；預測區間實際涵蓋 48%（理想約 50%）。趨勢空頭、動能弱、VIX 15（第 35 分位）只記錄、不參與預測（2008 年起的走步研究裡它們對漲跌沒有預測力）。</t>
        </is>
      </c>
    </row>
    <row r="21">
      <c r="A21" t="inlineStr">
        <is>
          <t>2026-W42-DBA-H5</t>
        </is>
      </c>
      <c r="B21" t="inlineStr">
        <is>
          <t>即時</t>
        </is>
      </c>
      <c r="C21" t="inlineStr">
        <is>
          <t>2026-10-12</t>
        </is>
      </c>
      <c r="D21" t="inlineStr">
        <is>
          <t>v2</t>
        </is>
      </c>
      <c r="E21" t="inlineStr">
        <is>
          <t>短線</t>
        </is>
      </c>
      <c r="F21" s="8">
        <v>5</v>
      </c>
      <c r="G21" t="inlineStr">
        <is>
          <t>1週</t>
        </is>
      </c>
      <c r="H21" t="inlineStr">
        <is>
          <t>農產品</t>
        </is>
      </c>
      <c r="I21" t="inlineStr">
        <is>
          <t>DBA</t>
        </is>
      </c>
      <c r="J21" t="inlineStr">
        <is>
          <t>無</t>
        </is>
      </c>
      <c r="K21" t="inlineStr">
        <is>
          <t>2026-10-09</t>
        </is>
      </c>
      <c r="L21">
        <v>28.33</v>
      </c>
      <c r="M21">
        <v>28.33</v>
      </c>
      <c r="N21" t="inlineStr">
        <is>
          <t>2026-10-16</t>
        </is>
      </c>
      <c r="O21" t="inlineStr">
        <is>
          <t>https://finance.yahoo.com/quote/DBA/history</t>
        </is>
      </c>
      <c r="P21" s="8">
        <v>4972</v>
      </c>
      <c r="Q21" s="8">
        <v>3</v>
      </c>
      <c r="R21" t="inlineStr">
        <is>
          <t>通過</t>
        </is>
      </c>
      <c r="S21" s="7">
        <v>12.41</v>
      </c>
      <c r="T21" s="7">
        <v>10.7</v>
      </c>
      <c r="U21" s="7">
        <v>14.44</v>
      </c>
      <c r="V21" s="7">
        <v>52.24</v>
      </c>
      <c r="W21" t="inlineStr">
        <is>
          <t>中</t>
        </is>
      </c>
      <c r="X21">
        <v>28.4114</v>
      </c>
      <c r="Y21">
        <v>27.2008</v>
      </c>
      <c r="Z21" s="7">
        <v>4.15</v>
      </c>
      <c r="AA21" t="inlineStr">
        <is>
          <t>多頭</t>
        </is>
      </c>
      <c r="AB21" s="7">
        <v>-2.07</v>
      </c>
      <c r="AC21" s="7">
        <v>26.74</v>
      </c>
      <c r="AD21" t="inlineStr">
        <is>
          <t>弱</t>
        </is>
      </c>
      <c r="AE21" s="7">
        <v>15.41</v>
      </c>
      <c r="AF21" s="7">
        <v>34.54</v>
      </c>
      <c r="AG21" t="inlineStr">
        <is>
          <t>同波動</t>
        </is>
      </c>
      <c r="AH21" s="8">
        <v>1650</v>
      </c>
      <c r="AI21" s="8">
        <v>330</v>
      </c>
      <c r="AJ21" s="7">
        <v>0.0</v>
      </c>
      <c r="AK21" s="7">
        <v>-1.15</v>
      </c>
      <c r="AL21" s="7">
        <v>1.19</v>
      </c>
      <c r="AM21" s="7">
        <v>49.45</v>
      </c>
      <c r="AN21" t="inlineStr">
        <is>
          <t>≥55% 偏漲；≤45% 偏跌；其餘不確定</t>
        </is>
      </c>
      <c r="AO21" t="inlineStr">
        <is>
          <t>不確定</t>
        </is>
      </c>
      <c r="AP21" s="8">
        <v>299</v>
      </c>
      <c r="AQ21" s="7">
        <v>49.5</v>
      </c>
      <c r="AR21" s="7">
        <v>50.17</v>
      </c>
      <c r="AS21" s="7">
        <v>50.17</v>
      </c>
      <c r="AT21" s="7">
        <v>49.57</v>
      </c>
      <c r="AW21" t="inlineStr">
        <is>
          <t>VOL=中|TREND=多頭|MOM=弱|VIXQ=1|SAMPLE=同波動|CALL=不確定</t>
        </is>
      </c>
      <c r="AX21" t="inlineStr">
        <is>
          <t>S0 資料OK → S1 波動:中(第52分位) → S2 趨勢:多頭 → S3 動能:弱(第27分位) → S4 VIX:15.4(第35分位) → S5 同波動樣本 330 段 → S6 不確定(上漲機率49%)</t>
        </is>
      </c>
      <c r="AY21" t="inlineStr">
        <is>
          <t>過去農產品（DBA）波動屬「中」時，5 個交易日（約1週）後的漲跌中位數 0.0%，一半的情況落在 −1.1%～+1.2%，上漲機率 49%（約 330 段獨立樣本）。上漲機率介於 45%～55% 之間，不做方向判斷。走步回測（只算起始日前已到期的決策）方向命中 50%（299 次判定）、永遠猜漲 50%、永遠猜跌 50%，還不如永遠猜漲（差 1 個百分點）；預測區間實際涵蓋 50%（理想約 50%）。趨勢多頭、動能弱、VIX 15（第 35 分位）只記錄、不參與預測（2008 年起的走步研究裡它們對漲跌沒有預測力）。</t>
        </is>
      </c>
    </row>
    <row r="22">
      <c r="A22" t="inlineStr">
        <is>
          <t>2026-W42-MOS-H5</t>
        </is>
      </c>
      <c r="B22" t="inlineStr">
        <is>
          <t>即時</t>
        </is>
      </c>
      <c r="C22" t="inlineStr">
        <is>
          <t>2026-10-12</t>
        </is>
      </c>
      <c r="D22" t="inlineStr">
        <is>
          <t>v2</t>
        </is>
      </c>
      <c r="E22" t="inlineStr">
        <is>
          <t>短線</t>
        </is>
      </c>
      <c r="F22" s="8">
        <v>5</v>
      </c>
      <c r="G22" t="inlineStr">
        <is>
          <t>1週</t>
        </is>
      </c>
      <c r="H22" t="inlineStr">
        <is>
          <t>肥料股</t>
        </is>
      </c>
      <c r="I22" t="inlineStr">
        <is>
          <t>MOS</t>
        </is>
      </c>
      <c r="J22" t="inlineStr">
        <is>
          <t>CF／NTR／1722.TW</t>
        </is>
      </c>
      <c r="K22" t="inlineStr">
        <is>
          <t>2026-10-09</t>
        </is>
      </c>
      <c r="L22">
        <v>18.74</v>
      </c>
      <c r="M22">
        <v>18.74</v>
      </c>
      <c r="N22" t="inlineStr">
        <is>
          <t>2026-10-16</t>
        </is>
      </c>
      <c r="O22" t="inlineStr">
        <is>
          <t>https://finance.yahoo.com/quote/MOS/history</t>
        </is>
      </c>
      <c r="P22" s="8">
        <v>9261</v>
      </c>
      <c r="Q22" s="8">
        <v>3</v>
      </c>
      <c r="R22" t="inlineStr">
        <is>
          <t>通過</t>
        </is>
      </c>
      <c r="S22" s="7">
        <v>35.11</v>
      </c>
      <c r="T22" s="7">
        <v>28.91</v>
      </c>
      <c r="U22" s="7">
        <v>40.27</v>
      </c>
      <c r="V22" s="7">
        <v>51.53</v>
      </c>
      <c r="W22" t="inlineStr">
        <is>
          <t>中</t>
        </is>
      </c>
      <c r="X22">
        <v>23.1948</v>
      </c>
      <c r="Y22">
        <v>24.0264</v>
      </c>
      <c r="Z22" s="7">
        <v>-22.0</v>
      </c>
      <c r="AA22" t="inlineStr">
        <is>
          <t>空頭</t>
        </is>
      </c>
      <c r="AB22" s="7">
        <v>-25.61</v>
      </c>
      <c r="AC22" s="7">
        <v>1.01</v>
      </c>
      <c r="AD22" t="inlineStr">
        <is>
          <t>弱</t>
        </is>
      </c>
      <c r="AE22" s="7">
        <v>15.41</v>
      </c>
      <c r="AF22" s="7">
        <v>34.54</v>
      </c>
      <c r="AG22" t="inlineStr">
        <is>
          <t>同波動</t>
        </is>
      </c>
      <c r="AH22" s="8">
        <v>3075</v>
      </c>
      <c r="AI22" s="8">
        <v>615</v>
      </c>
      <c r="AJ22" s="7">
        <v>0.0</v>
      </c>
      <c r="AK22" s="7">
        <v>-3.45</v>
      </c>
      <c r="AL22" s="7">
        <v>3.49</v>
      </c>
      <c r="AM22" s="7">
        <v>49.69</v>
      </c>
      <c r="AN22" t="inlineStr">
        <is>
          <t>≥55% 偏漲；≤45% 偏跌；其餘不確定</t>
        </is>
      </c>
      <c r="AO22" t="inlineStr">
        <is>
          <t>不確定</t>
        </is>
      </c>
      <c r="AP22" s="8">
        <v>0</v>
      </c>
      <c r="AT22" s="7">
        <v>48.77</v>
      </c>
      <c r="AW22" t="inlineStr">
        <is>
          <t>VOL=中|TREND=空頭|MOM=弱|VIXQ=1|SAMPLE=同波動|CALL=不確定</t>
        </is>
      </c>
      <c r="AX22" t="inlineStr">
        <is>
          <t>S0 資料OK → S1 波動:中(第52分位) → S2 趨勢:空頭 → S3 動能:弱(第1分位) → S4 VIX:15.4(第35分位) → S5 同波動樣本 615 段 → S6 不確定(上漲機率50%)</t>
        </is>
      </c>
      <c r="AY22" t="inlineStr">
        <is>
          <t>過去肥料股（MOS）波動屬「中」時，5 個交易日（約1週）後的漲跌中位數 0.0%，一半的情況落在 −3.5%～+3.5%，上漲機率 50%（約 615 段獨立樣本）。上漲機率介於 45%～55% 之間，不做方向判斷。走步回測（978 次決策）沒有方向判定可比；預測區間實際涵蓋 49%（理想約 50%）。趨勢空頭、動能弱、VIX 15（第 35 分位）只記錄、不參與預測（2008 年起的走步研究裡它們對漲跌沒有預測力）。</t>
        </is>
      </c>
    </row>
    <row r="23">
      <c r="A23" t="inlineStr">
        <is>
          <t>2026-W42-BRK-B-H5</t>
        </is>
      </c>
      <c r="B23" t="inlineStr">
        <is>
          <t>即時</t>
        </is>
      </c>
      <c r="C23" t="inlineStr">
        <is>
          <t>2026-10-12</t>
        </is>
      </c>
      <c r="D23" t="inlineStr">
        <is>
          <t>v2</t>
        </is>
      </c>
      <c r="E23" t="inlineStr">
        <is>
          <t>短線</t>
        </is>
      </c>
      <c r="F23" s="8">
        <v>5</v>
      </c>
      <c r="G23" t="inlineStr">
        <is>
          <t>1週</t>
        </is>
      </c>
      <c r="H23" t="inlineStr">
        <is>
          <t>波克夏</t>
        </is>
      </c>
      <c r="I23" t="inlineStr">
        <is>
          <t>BRK-B</t>
        </is>
      </c>
      <c r="J23" t="inlineStr">
        <is>
          <t>無</t>
        </is>
      </c>
      <c r="K23" t="inlineStr">
        <is>
          <t>2026-10-09</t>
        </is>
      </c>
      <c r="L23">
        <v>515.62</v>
      </c>
      <c r="M23">
        <v>515.62</v>
      </c>
      <c r="N23" t="inlineStr">
        <is>
          <t>2026-10-16</t>
        </is>
      </c>
      <c r="O23" t="inlineStr">
        <is>
          <t>https://finance.yahoo.com/quote/BRK-B/history</t>
        </is>
      </c>
      <c r="P23" s="8">
        <v>7654</v>
      </c>
      <c r="Q23" s="8">
        <v>3</v>
      </c>
      <c r="R23" t="inlineStr">
        <is>
          <t>通過</t>
        </is>
      </c>
      <c r="S23" s="7">
        <v>12.26</v>
      </c>
      <c r="T23" s="7">
        <v>12.9</v>
      </c>
      <c r="U23" s="7">
        <v>18.65</v>
      </c>
      <c r="V23" s="7">
        <v>27.12</v>
      </c>
      <c r="W23" t="inlineStr">
        <is>
          <t>低</t>
        </is>
      </c>
      <c r="X23">
        <v>507.7682</v>
      </c>
      <c r="Y23">
        <v>492.9699</v>
      </c>
      <c r="Z23" s="7">
        <v>4.59</v>
      </c>
      <c r="AA23" t="inlineStr">
        <is>
          <t>多頭</t>
        </is>
      </c>
      <c r="AB23" s="7">
        <v>1.03</v>
      </c>
      <c r="AC23" s="7">
        <v>52.17</v>
      </c>
      <c r="AD23" t="inlineStr">
        <is>
          <t>中</t>
        </is>
      </c>
      <c r="AE23" s="7">
        <v>15.41</v>
      </c>
      <c r="AF23" s="7">
        <v>34.54</v>
      </c>
      <c r="AG23" t="inlineStr">
        <is>
          <t>同波動</t>
        </is>
      </c>
      <c r="AH23" s="8">
        <v>2528</v>
      </c>
      <c r="AI23" s="8">
        <v>505</v>
      </c>
      <c r="AJ23" s="7">
        <v>0.14</v>
      </c>
      <c r="AK23" s="7">
        <v>-0.96</v>
      </c>
      <c r="AL23" s="7">
        <v>1.35</v>
      </c>
      <c r="AM23" s="7">
        <v>53.2</v>
      </c>
      <c r="AN23" t="inlineStr">
        <is>
          <t>≥55% 偏漲；≤45% 偏跌；其餘不確定</t>
        </is>
      </c>
      <c r="AO23" t="inlineStr">
        <is>
          <t>不確定</t>
        </is>
      </c>
      <c r="AP23" s="8">
        <v>0</v>
      </c>
      <c r="AT23" s="7">
        <v>50.0</v>
      </c>
      <c r="AW23" t="inlineStr">
        <is>
          <t>VOL=低|TREND=多頭|MOM=中|VIXQ=1|SAMPLE=同波動|CALL=不確定</t>
        </is>
      </c>
      <c r="AX23" t="inlineStr">
        <is>
          <t>S0 資料OK → S1 波動:低(第27分位) → S2 趨勢:多頭 → S3 動能:中(第52分位) → S4 VIX:15.4(第35分位) → S5 同波動樣本 505 段 → S6 不確定(上漲機率53%)</t>
        </is>
      </c>
      <c r="AY23" t="inlineStr">
        <is>
          <t>過去波克夏（BRK-B）波動屬「低」時，5 個交易日（約1週）後的漲跌中位數 +0.1%，一半的情況落在 −1.0%～+1.4%，上漲機率 53%（約 505 段獨立樣本）。上漲機率介於 45%～55% 之間，不做方向判斷。走步回測（978 次決策）沒有方向判定可比；預測區間實際涵蓋 50%（理想約 50%）。趨勢多頭、動能中、VIX 15（第 35 分位）只記錄、不參與預測（2008 年起的走步研究裡它們對漲跌沒有預測力）。</t>
        </is>
      </c>
    </row>
    <row r="24">
      <c r="A24" t="inlineStr">
        <is>
          <t>2026-W42-TLT-H10</t>
        </is>
      </c>
      <c r="B24" t="inlineStr">
        <is>
          <t>即時</t>
        </is>
      </c>
      <c r="C24" t="inlineStr">
        <is>
          <t>2026-10-12</t>
        </is>
      </c>
      <c r="D24" t="inlineStr">
        <is>
          <t>v2</t>
        </is>
      </c>
      <c r="E24" t="inlineStr">
        <is>
          <t>短線</t>
        </is>
      </c>
      <c r="F24" s="8">
        <v>10</v>
      </c>
      <c r="G24" t="inlineStr">
        <is>
          <t>2週</t>
        </is>
      </c>
      <c r="H24" t="inlineStr">
        <is>
          <t>美國長天期公債</t>
        </is>
      </c>
      <c r="I24" t="inlineStr">
        <is>
          <t>TLT</t>
        </is>
      </c>
      <c r="J24" t="inlineStr">
        <is>
          <t>00679B.TWO／00687B.TWO</t>
        </is>
      </c>
      <c r="K24" t="inlineStr">
        <is>
          <t>2026-10-09</t>
        </is>
      </c>
      <c r="L24">
        <v>77.98</v>
      </c>
      <c r="M24">
        <v>77.98</v>
      </c>
      <c r="N24" t="inlineStr">
        <is>
          <t>2026-10-23</t>
        </is>
      </c>
      <c r="O24" t="inlineStr">
        <is>
          <t>https://finance.yahoo.com/quote/TLT/history</t>
        </is>
      </c>
      <c r="P24" s="8">
        <v>6089</v>
      </c>
      <c r="Q24" s="8">
        <v>3</v>
      </c>
      <c r="R24" t="inlineStr">
        <is>
          <t>通過</t>
        </is>
      </c>
      <c r="S24" s="7">
        <v>10.46</v>
      </c>
      <c r="T24" s="7">
        <v>10.18</v>
      </c>
      <c r="U24" s="7">
        <v>13.88</v>
      </c>
      <c r="V24" s="7">
        <v>36.74</v>
      </c>
      <c r="W24" t="inlineStr">
        <is>
          <t>中</t>
        </is>
      </c>
      <c r="X24">
        <v>80.6537</v>
      </c>
      <c r="Y24">
        <v>83.5503</v>
      </c>
      <c r="Z24" s="7">
        <v>-6.67</v>
      </c>
      <c r="AA24" t="inlineStr">
        <is>
          <t>空頭</t>
        </is>
      </c>
      <c r="AB24" s="7">
        <v>-3.19</v>
      </c>
      <c r="AC24" s="7">
        <v>15.36</v>
      </c>
      <c r="AD24" t="inlineStr">
        <is>
          <t>弱</t>
        </is>
      </c>
      <c r="AE24" s="7">
        <v>15.41</v>
      </c>
      <c r="AF24" s="7">
        <v>34.54</v>
      </c>
      <c r="AG24" t="inlineStr">
        <is>
          <t>同波動</t>
        </is>
      </c>
      <c r="AH24" s="8">
        <v>2014</v>
      </c>
      <c r="AI24" s="8">
        <v>201</v>
      </c>
      <c r="AJ24" s="7">
        <v>0.27</v>
      </c>
      <c r="AK24" s="7">
        <v>-1.31</v>
      </c>
      <c r="AL24" s="7">
        <v>1.67</v>
      </c>
      <c r="AM24" s="7">
        <v>54.82</v>
      </c>
      <c r="AN24" t="inlineStr">
        <is>
          <t>≥55% 偏漲；≤45% 偏跌；其餘不確定</t>
        </is>
      </c>
      <c r="AO24" t="inlineStr">
        <is>
          <t>不確定</t>
        </is>
      </c>
      <c r="AP24" s="8">
        <v>540</v>
      </c>
      <c r="AQ24" s="7">
        <v>52.04</v>
      </c>
      <c r="AR24" s="7">
        <v>52.04</v>
      </c>
      <c r="AS24" s="7">
        <v>52.04</v>
      </c>
      <c r="AT24" s="7">
        <v>47.9</v>
      </c>
      <c r="AW24" t="inlineStr">
        <is>
          <t>VOL=中|TREND=空頭|MOM=弱|VIXQ=1|SAMPLE=同波動|CALL=不確定</t>
        </is>
      </c>
      <c r="AX24" t="inlineStr">
        <is>
          <t>S0 資料OK → S1 波動:中(第37分位) → S2 趨勢:空頭 → S3 動能:弱(第15分位) → S4 VIX:15.4(第35分位) → S5 同波動樣本 201 段 → S6 不確定(上漲機率54.8%)</t>
        </is>
      </c>
      <c r="AY24" t="inlineStr">
        <is>
          <t>過去美國長天期公債（TLT）波動屬「中」時，10 個交易日（約2週）後的漲跌中位數 +0.3%，一半的情況落在 −1.3%～+1.7%，上漲機率 54.8%（約 201 段獨立樣本）。上漲機率介於 45%～55% 之間，不做方向判斷。走步回測（只算起始日前已到期的決策）方向命中 52%（540 次判定，每週決策的 10 日報酬互相重疊，等效約 270 次獨立判定）、永遠猜漲 52%、永遠猜跌 48%，和永遠猜漲一樣準，沒有比較準；預測區間實際涵蓋 48%（理想約 50%）。趨勢空頭、動能弱、VIX 15（第 35 分位）只記錄、不參與預測（2008 年起的走步研究裡它們對漲跌沒有預測力）。</t>
        </is>
      </c>
    </row>
    <row r="25">
      <c r="A25" t="inlineStr">
        <is>
          <t>2026-W42-LQD-H10</t>
        </is>
      </c>
      <c r="B25" t="inlineStr">
        <is>
          <t>即時</t>
        </is>
      </c>
      <c r="C25" t="inlineStr">
        <is>
          <t>2026-10-12</t>
        </is>
      </c>
      <c r="D25" t="inlineStr">
        <is>
          <t>v2</t>
        </is>
      </c>
      <c r="E25" t="inlineStr">
        <is>
          <t>短線</t>
        </is>
      </c>
      <c r="F25" s="8">
        <v>10</v>
      </c>
      <c r="G25" t="inlineStr">
        <is>
          <t>2週</t>
        </is>
      </c>
      <c r="H25" t="inlineStr">
        <is>
          <t>美國投資級公司債</t>
        </is>
      </c>
      <c r="I25" t="inlineStr">
        <is>
          <t>LQD</t>
        </is>
      </c>
      <c r="J25" t="inlineStr">
        <is>
          <t>00720B.TWO</t>
        </is>
      </c>
      <c r="K25" t="inlineStr">
        <is>
          <t>2026-10-09</t>
        </is>
      </c>
      <c r="L25">
        <v>102.41</v>
      </c>
      <c r="M25">
        <v>102.41</v>
      </c>
      <c r="N25" t="inlineStr">
        <is>
          <t>2026-10-23</t>
        </is>
      </c>
      <c r="O25" t="inlineStr">
        <is>
          <t>https://finance.yahoo.com/quote/LQD/history</t>
        </is>
      </c>
      <c r="P25" s="8">
        <v>6089</v>
      </c>
      <c r="Q25" s="8">
        <v>3</v>
      </c>
      <c r="R25" t="inlineStr">
        <is>
          <t>通過</t>
        </is>
      </c>
      <c r="S25" s="7">
        <v>6.61</v>
      </c>
      <c r="T25" s="7">
        <v>4.62</v>
      </c>
      <c r="U25" s="7">
        <v>6.49</v>
      </c>
      <c r="V25" s="7">
        <v>68.15</v>
      </c>
      <c r="W25" t="inlineStr">
        <is>
          <t>高</t>
        </is>
      </c>
      <c r="X25">
        <v>104.3054</v>
      </c>
      <c r="Y25">
        <v>106.0833</v>
      </c>
      <c r="Z25" s="7">
        <v>-3.46</v>
      </c>
      <c r="AA25" t="inlineStr">
        <is>
          <t>空頭</t>
        </is>
      </c>
      <c r="AB25" s="7">
        <v>-1.41</v>
      </c>
      <c r="AC25" s="7">
        <v>15.09</v>
      </c>
      <c r="AD25" t="inlineStr">
        <is>
          <t>弱</t>
        </is>
      </c>
      <c r="AE25" s="7">
        <v>15.41</v>
      </c>
      <c r="AF25" s="7">
        <v>34.54</v>
      </c>
      <c r="AG25" t="inlineStr">
        <is>
          <t>同波動</t>
        </is>
      </c>
      <c r="AH25" s="8">
        <v>2015</v>
      </c>
      <c r="AI25" s="8">
        <v>201</v>
      </c>
      <c r="AJ25" s="7">
        <v>0.36</v>
      </c>
      <c r="AK25" s="7">
        <v>-0.73</v>
      </c>
      <c r="AL25" s="7">
        <v>1.36</v>
      </c>
      <c r="AM25" s="7">
        <v>59.65</v>
      </c>
      <c r="AN25" t="inlineStr">
        <is>
          <t>≥55% 偏漲；≤45% 偏跌；其餘不確定</t>
        </is>
      </c>
      <c r="AO25" t="inlineStr">
        <is>
          <t>偏漲</t>
        </is>
      </c>
      <c r="AP25" s="8">
        <v>819</v>
      </c>
      <c r="AQ25" s="7">
        <v>57.88</v>
      </c>
      <c r="AR25" s="7">
        <v>57.88</v>
      </c>
      <c r="AS25" s="7">
        <v>57.88</v>
      </c>
      <c r="AT25" s="7">
        <v>50.87</v>
      </c>
      <c r="AW25" t="inlineStr">
        <is>
          <t>VOL=高|TREND=空頭|MOM=弱|VIXQ=1|SAMPLE=同波動|CALL=偏漲</t>
        </is>
      </c>
      <c r="AX25" t="inlineStr">
        <is>
          <t>S0 資料OK → S1 波動:高(第68分位) → S2 趨勢:空頭 → S3 動能:弱(第15分位) → S4 VIX:15.4(第35分位) → S5 同波動樣本 201 段 → S6 偏漲(上漲機率60%)</t>
        </is>
      </c>
      <c r="AY25" t="inlineStr">
        <is>
          <t>過去美國投資級公司債（LQD）波動屬「高」時，10 個交易日（約2週）後的漲跌中位數 +0.4%，一半的情況落在 −0.7%～+1.4%，上漲機率 60%（約 201 段獨立樣本）。判定偏漲，主要反映長期上漲傾向，不是當下訊號。走步回測（只算起始日前已到期的決策）方向命中 58%（819 次判定，每週決策的 10 日報酬互相重疊，等效約 410 次獨立判定）、永遠猜漲 58%、永遠猜跌 42%，和永遠猜漲一樣準，沒有比較準；預測區間實際涵蓋 51%（理想約 50%）。趨勢空頭、動能弱、VIX 15（第 35 分位）只記錄、不參與預測（2008 年起的走步研究裡它們對漲跌沒有預測力）。</t>
        </is>
      </c>
    </row>
    <row r="26">
      <c r="A26" t="inlineStr">
        <is>
          <t>2026-W42-HYG-H10</t>
        </is>
      </c>
      <c r="B26" t="inlineStr">
        <is>
          <t>即時</t>
        </is>
      </c>
      <c r="C26" t="inlineStr">
        <is>
          <t>2026-10-12</t>
        </is>
      </c>
      <c r="D26" t="inlineStr">
        <is>
          <t>v2</t>
        </is>
      </c>
      <c r="E26" t="inlineStr">
        <is>
          <t>短線</t>
        </is>
      </c>
      <c r="F26" s="8">
        <v>10</v>
      </c>
      <c r="G26" t="inlineStr">
        <is>
          <t>2週</t>
        </is>
      </c>
      <c r="H26" t="inlineStr">
        <is>
          <t>美國高收益債</t>
        </is>
      </c>
      <c r="I26" t="inlineStr">
        <is>
          <t>HYG</t>
        </is>
      </c>
      <c r="J26" t="inlineStr">
        <is>
          <t>00710B.TW</t>
        </is>
      </c>
      <c r="K26" t="inlineStr">
        <is>
          <t>2026-10-09</t>
        </is>
      </c>
      <c r="L26">
        <v>77.23</v>
      </c>
      <c r="M26">
        <v>77.23</v>
      </c>
      <c r="N26" t="inlineStr">
        <is>
          <t>2026-10-23</t>
        </is>
      </c>
      <c r="O26" t="inlineStr">
        <is>
          <t>https://finance.yahoo.com/quote/HYG/history</t>
        </is>
      </c>
      <c r="P26" s="8">
        <v>4907</v>
      </c>
      <c r="Q26" s="8">
        <v>3</v>
      </c>
      <c r="R26" t="inlineStr">
        <is>
          <t>通過</t>
        </is>
      </c>
      <c r="S26" s="7">
        <v>3.96</v>
      </c>
      <c r="T26" s="7">
        <v>4.24</v>
      </c>
      <c r="U26" s="7">
        <v>7.1</v>
      </c>
      <c r="V26" s="7">
        <v>29.2</v>
      </c>
      <c r="W26" t="inlineStr">
        <is>
          <t>低</t>
        </is>
      </c>
      <c r="X26">
        <v>78.2889</v>
      </c>
      <c r="Y26">
        <v>77.9025</v>
      </c>
      <c r="Z26" s="7">
        <v>-0.86</v>
      </c>
      <c r="AA26" t="inlineStr">
        <is>
          <t>盤整</t>
        </is>
      </c>
      <c r="AB26" s="7">
        <v>-1.31</v>
      </c>
      <c r="AC26" s="7">
        <v>17.02</v>
      </c>
      <c r="AD26" t="inlineStr">
        <is>
          <t>弱</t>
        </is>
      </c>
      <c r="AE26" s="7">
        <v>15.41</v>
      </c>
      <c r="AF26" s="7">
        <v>34.54</v>
      </c>
      <c r="AG26" t="inlineStr">
        <is>
          <t>同波動</t>
        </is>
      </c>
      <c r="AH26" s="8">
        <v>1610</v>
      </c>
      <c r="AI26" s="8">
        <v>161</v>
      </c>
      <c r="AJ26" s="7">
        <v>0.19</v>
      </c>
      <c r="AK26" s="7">
        <v>-0.3</v>
      </c>
      <c r="AL26" s="7">
        <v>0.58</v>
      </c>
      <c r="AM26" s="7">
        <v>61.86</v>
      </c>
      <c r="AN26" t="inlineStr">
        <is>
          <t>≥55% 偏漲；≤45% 偏跌；其餘不確定</t>
        </is>
      </c>
      <c r="AO26" t="inlineStr">
        <is>
          <t>偏漲</t>
        </is>
      </c>
      <c r="AP26" s="8">
        <v>809</v>
      </c>
      <c r="AQ26" s="7">
        <v>62.67</v>
      </c>
      <c r="AR26" s="7">
        <v>62.67</v>
      </c>
      <c r="AS26" s="7">
        <v>62.67</v>
      </c>
      <c r="AT26" s="7">
        <v>58.34</v>
      </c>
      <c r="AW26" t="inlineStr">
        <is>
          <t>VOL=低|TREND=盤整|MOM=弱|VIXQ=1|SAMPLE=同波動|CALL=偏漲</t>
        </is>
      </c>
      <c r="AX26" t="inlineStr">
        <is>
          <t>S0 資料OK → S1 波動:低(第29分位) → S2 趨勢:盤整 → S3 動能:弱(第17分位) → S4 VIX:15.4(第35分位) → S5 同波動樣本 161 段 → S6 偏漲(上漲機率62%)</t>
        </is>
      </c>
      <c r="AY26" t="inlineStr">
        <is>
          <t>過去美國高收益債（HYG）波動屬「低」時，10 個交易日（約2週）後的漲跌中位數 +0.2%，一半的情況落在 −0.3%～+0.6%，上漲機率 62%（約 161 段獨立樣本）。判定偏漲，主要反映長期上漲傾向，不是當下訊號。走步回測（只算起始日前已到期的決策）方向命中 63%（809 次判定，每週決策的 10 日報酬互相重疊，等效約 404 次獨立判定）、永遠猜漲 63%、永遠猜跌 37%，和永遠猜漲一樣準，沒有比較準；預測區間實際涵蓋 58%（理想約 50%）。趨勢盤整、動能弱、VIX 15（第 35 分位）只記錄、不參與預測（2008 年起的走步研究裡它們對漲跌沒有預測力）。</t>
        </is>
      </c>
    </row>
    <row r="27">
      <c r="A27" t="inlineStr">
        <is>
          <t>2026-W42-GLD-H10</t>
        </is>
      </c>
      <c r="B27" t="inlineStr">
        <is>
          <t>即時</t>
        </is>
      </c>
      <c r="C27" t="inlineStr">
        <is>
          <t>2026-10-12</t>
        </is>
      </c>
      <c r="D27" t="inlineStr">
        <is>
          <t>v2</t>
        </is>
      </c>
      <c r="E27" t="inlineStr">
        <is>
          <t>短線</t>
        </is>
      </c>
      <c r="F27" s="8">
        <v>10</v>
      </c>
      <c r="G27" t="inlineStr">
        <is>
          <t>2週</t>
        </is>
      </c>
      <c r="H27" t="inlineStr">
        <is>
          <t>黃金</t>
        </is>
      </c>
      <c r="I27" t="inlineStr">
        <is>
          <t>GLD</t>
        </is>
      </c>
      <c r="J27" t="inlineStr">
        <is>
          <t>00635U.TW</t>
        </is>
      </c>
      <c r="K27" t="inlineStr">
        <is>
          <t>2026-10-09</t>
        </is>
      </c>
      <c r="L27">
        <v>384.58</v>
      </c>
      <c r="M27">
        <v>384.58</v>
      </c>
      <c r="N27" t="inlineStr">
        <is>
          <t>2026-10-23</t>
        </is>
      </c>
      <c r="O27" t="inlineStr">
        <is>
          <t>https://finance.yahoo.com/quote/GLD/history</t>
        </is>
      </c>
      <c r="P27" s="8">
        <v>5507</v>
      </c>
      <c r="Q27" s="8">
        <v>3</v>
      </c>
      <c r="R27" t="inlineStr">
        <is>
          <t>通過</t>
        </is>
      </c>
      <c r="S27" s="7">
        <v>20.95</v>
      </c>
      <c r="T27" s="7">
        <v>12.26</v>
      </c>
      <c r="U27" s="7">
        <v>16.8</v>
      </c>
      <c r="V27" s="7">
        <v>80.3</v>
      </c>
      <c r="W27" t="inlineStr">
        <is>
          <t>高</t>
        </is>
      </c>
      <c r="X27">
        <v>397.0278</v>
      </c>
      <c r="Y27">
        <v>415.6548</v>
      </c>
      <c r="Z27" s="7">
        <v>-7.48</v>
      </c>
      <c r="AA27" t="inlineStr">
        <is>
          <t>空頭</t>
        </is>
      </c>
      <c r="AB27" s="7">
        <v>-3.56</v>
      </c>
      <c r="AC27" s="7">
        <v>15.31</v>
      </c>
      <c r="AD27" t="inlineStr">
        <is>
          <t>弱</t>
        </is>
      </c>
      <c r="AE27" s="7">
        <v>15.41</v>
      </c>
      <c r="AF27" s="7">
        <v>34.54</v>
      </c>
      <c r="AG27" t="inlineStr">
        <is>
          <t>同波動</t>
        </is>
      </c>
      <c r="AH27" s="8">
        <v>1822</v>
      </c>
      <c r="AI27" s="8">
        <v>182</v>
      </c>
      <c r="AJ27" s="7">
        <v>0.45</v>
      </c>
      <c r="AK27" s="7">
        <v>-2.16</v>
      </c>
      <c r="AL27" s="7">
        <v>2.82</v>
      </c>
      <c r="AM27" s="7">
        <v>55.27</v>
      </c>
      <c r="AN27" t="inlineStr">
        <is>
          <t>≥55% 偏漲；≤45% 偏跌；其餘不確定</t>
        </is>
      </c>
      <c r="AO27" t="inlineStr">
        <is>
          <t>偏漲</t>
        </is>
      </c>
      <c r="AP27" s="8">
        <v>549</v>
      </c>
      <c r="AQ27" s="7">
        <v>56.28</v>
      </c>
      <c r="AR27" s="7">
        <v>56.28</v>
      </c>
      <c r="AS27" s="7">
        <v>56.28</v>
      </c>
      <c r="AT27" s="7">
        <v>54.56</v>
      </c>
      <c r="AW27" t="inlineStr">
        <is>
          <t>VOL=高|TREND=空頭|MOM=弱|VIXQ=1|SAMPLE=同波動|CALL=偏漲</t>
        </is>
      </c>
      <c r="AX27" t="inlineStr">
        <is>
          <t>S0 資料OK → S1 波動:高(第80分位) → S2 趨勢:空頭 → S3 動能:弱(第15分位) → S4 VIX:15.4(第35分位) → S5 同波動樣本 182 段 → S6 偏漲(上漲機率55.3%)</t>
        </is>
      </c>
      <c r="AY27" t="inlineStr">
        <is>
          <t>過去黃金（GLD）波動屬「高」時，10 個交易日（約2週）後的漲跌中位數 +0.5%，一半的情況落在 −2.2%～+2.8%，上漲機率 55.3%（約 182 段獨立樣本）。判定偏漲，主要反映長期上漲傾向，不是當下訊號。走步回測（只算起始日前已到期的決策）方向命中 56%（549 次判定，每週決策的 10 日報酬互相重疊，等效約 274 次獨立判定）、永遠猜漲 56%、永遠猜跌 44%，和永遠猜漲一樣準，沒有比較準；預測區間實際涵蓋 55%（理想約 50%）。趨勢空頭、動能弱、VIX 15（第 35 分位）只記錄、不參與預測（2008 年起的走步研究裡它們對漲跌沒有預測力）。</t>
        </is>
      </c>
    </row>
    <row r="28">
      <c r="A28" t="inlineStr">
        <is>
          <t>2026-W42-TWD=X-H10</t>
        </is>
      </c>
      <c r="B28" t="inlineStr">
        <is>
          <t>即時</t>
        </is>
      </c>
      <c r="C28" t="inlineStr">
        <is>
          <t>2026-10-12</t>
        </is>
      </c>
      <c r="D28" t="inlineStr">
        <is>
          <t>v2</t>
        </is>
      </c>
      <c r="E28" t="inlineStr">
        <is>
          <t>短線</t>
        </is>
      </c>
      <c r="F28" s="8">
        <v>10</v>
      </c>
      <c r="G28" t="inlineStr">
        <is>
          <t>2週</t>
        </is>
      </c>
      <c r="H28" t="inlineStr">
        <is>
          <t>美元／新台幣</t>
        </is>
      </c>
      <c r="I28" t="inlineStr">
        <is>
          <t>TWD=X</t>
        </is>
      </c>
      <c r="J28" t="inlineStr">
        <is>
          <t>美元定存／00865B.TW</t>
        </is>
      </c>
      <c r="K28" t="inlineStr">
        <is>
          <t>2026-10-08</t>
        </is>
      </c>
      <c r="L28">
        <v>31.8483</v>
      </c>
      <c r="M28">
        <v>31.8483</v>
      </c>
      <c r="N28" t="inlineStr">
        <is>
          <t>2026-10-22</t>
        </is>
      </c>
      <c r="O28" t="inlineStr">
        <is>
          <t>https://finance.yahoo.com/quote/TWD=X/history</t>
        </is>
      </c>
      <c r="P28" s="8">
        <v>5435</v>
      </c>
      <c r="Q28" s="8">
        <v>4</v>
      </c>
      <c r="R28" t="inlineStr">
        <is>
          <t>通過</t>
        </is>
      </c>
      <c r="S28" s="7">
        <v>3.17</v>
      </c>
      <c r="T28" s="7">
        <v>4.0</v>
      </c>
      <c r="U28" s="7">
        <v>6.37</v>
      </c>
      <c r="V28" s="7">
        <v>16.47</v>
      </c>
      <c r="W28" t="inlineStr">
        <is>
          <t>低</t>
        </is>
      </c>
      <c r="X28">
        <v>31.8696</v>
      </c>
      <c r="Y28">
        <v>31.7316</v>
      </c>
      <c r="Z28" s="7">
        <v>0.37</v>
      </c>
      <c r="AA28" t="inlineStr">
        <is>
          <t>多頭</t>
        </is>
      </c>
      <c r="AB28" s="7">
        <v>1.22</v>
      </c>
      <c r="AC28" s="7">
        <v>82.6</v>
      </c>
      <c r="AD28" t="inlineStr">
        <is>
          <t>強</t>
        </is>
      </c>
      <c r="AE28" s="7">
        <v>15.41</v>
      </c>
      <c r="AF28" s="7">
        <v>34.54</v>
      </c>
      <c r="AG28" t="inlineStr">
        <is>
          <t>同波動</t>
        </is>
      </c>
      <c r="AH28" s="8">
        <v>1780</v>
      </c>
      <c r="AI28" s="8">
        <v>178</v>
      </c>
      <c r="AJ28" s="7">
        <v>-0.03</v>
      </c>
      <c r="AK28" s="7">
        <v>-0.47</v>
      </c>
      <c r="AL28" s="7">
        <v>0.39</v>
      </c>
      <c r="AM28" s="7">
        <v>47.42</v>
      </c>
      <c r="AN28" t="inlineStr">
        <is>
          <t>≥55% 偏漲；≤45% 偏跌；其餘不確定</t>
        </is>
      </c>
      <c r="AO28" t="inlineStr">
        <is>
          <t>不確定</t>
        </is>
      </c>
      <c r="AP28" s="8">
        <v>260</v>
      </c>
      <c r="AQ28" s="7">
        <v>48.85</v>
      </c>
      <c r="AR28" s="7">
        <v>46.15</v>
      </c>
      <c r="AS28" s="7">
        <v>53.85</v>
      </c>
      <c r="AT28" s="7">
        <v>49.04</v>
      </c>
      <c r="AW28" t="inlineStr">
        <is>
          <t>VOL=低|TREND=多頭|MOM=強|VIXQ=1|SAMPLE=同波動|CALL=不確定</t>
        </is>
      </c>
      <c r="AX28" t="inlineStr">
        <is>
          <t>S0 資料OK → S1 波動:低(第16分位) → S2 趨勢:多頭 → S3 動能:強(第83分位) → S4 VIX:15.4(第35分位) → S5 同波動樣本 178 段 → S6 不確定(上漲機率47%)</t>
        </is>
      </c>
      <c r="AY28" t="inlineStr">
        <is>
          <t>過去美元／新台幣（TWD=X）波動屬「低」時，10 個交易日（約2週）後的漲跌中位數 0.0%，一半的情況落在 −0.5%～+0.4%，上漲機率 47%（約 178 段獨立樣本）。上漲機率介於 45%～55% 之間，不做方向判斷。走步回測（只算起始日前已到期的決策）方向命中 49%（260 次判定，每週決策的 10 日報酬互相重疊，等效約 130 次獨立判定）、永遠猜漲 46%、永遠猜跌 54%，還不如永遠猜跌（差 5 個百分點）；預測區間實際涵蓋 49%（理想約 50%）。趨勢多頭、動能強、VIX 15（第 35 分位）只記錄、不參與預測（2008 年起的走步研究裡它們對漲跌沒有預測力）。</t>
        </is>
      </c>
    </row>
    <row r="29">
      <c r="A29" t="inlineStr">
        <is>
          <t>2026-W42-UUP-H10</t>
        </is>
      </c>
      <c r="B29" t="inlineStr">
        <is>
          <t>即時</t>
        </is>
      </c>
      <c r="C29" t="inlineStr">
        <is>
          <t>2026-10-12</t>
        </is>
      </c>
      <c r="D29" t="inlineStr">
        <is>
          <t>v2</t>
        </is>
      </c>
      <c r="E29" t="inlineStr">
        <is>
          <t>短線</t>
        </is>
      </c>
      <c r="F29" s="8">
        <v>10</v>
      </c>
      <c r="G29" t="inlineStr">
        <is>
          <t>2週</t>
        </is>
      </c>
      <c r="H29" t="inlineStr">
        <is>
          <t>美元指數</t>
        </is>
      </c>
      <c r="I29" t="inlineStr">
        <is>
          <t>UUP</t>
        </is>
      </c>
      <c r="J29" t="inlineStr">
        <is>
          <t>00682U.TW</t>
        </is>
      </c>
      <c r="K29" t="inlineStr">
        <is>
          <t>2026-10-09</t>
        </is>
      </c>
      <c r="L29">
        <v>29.02</v>
      </c>
      <c r="M29">
        <v>29.02</v>
      </c>
      <c r="N29" t="inlineStr">
        <is>
          <t>2026-10-23</t>
        </is>
      </c>
      <c r="O29" t="inlineStr">
        <is>
          <t>https://finance.yahoo.com/quote/UUP/history</t>
        </is>
      </c>
      <c r="P29" s="8">
        <v>4935</v>
      </c>
      <c r="Q29" s="8">
        <v>3</v>
      </c>
      <c r="R29" t="inlineStr">
        <is>
          <t>通過</t>
        </is>
      </c>
      <c r="S29" s="7">
        <v>4.58</v>
      </c>
      <c r="T29" s="7">
        <v>5.65</v>
      </c>
      <c r="U29" s="7">
        <v>7.73</v>
      </c>
      <c r="V29" s="7">
        <v>12.51</v>
      </c>
      <c r="W29" t="inlineStr">
        <is>
          <t>低</t>
        </is>
      </c>
      <c r="X29">
        <v>28.3162</v>
      </c>
      <c r="Y29">
        <v>27.785</v>
      </c>
      <c r="Z29" s="7">
        <v>4.44</v>
      </c>
      <c r="AA29" t="inlineStr">
        <is>
          <t>多頭</t>
        </is>
      </c>
      <c r="AB29" s="7">
        <v>3.38</v>
      </c>
      <c r="AC29" s="7">
        <v>94.08</v>
      </c>
      <c r="AD29" t="inlineStr">
        <is>
          <t>強</t>
        </is>
      </c>
      <c r="AE29" s="7">
        <v>15.41</v>
      </c>
      <c r="AF29" s="7">
        <v>34.54</v>
      </c>
      <c r="AG29" t="inlineStr">
        <is>
          <t>同波動</t>
        </is>
      </c>
      <c r="AH29" s="8">
        <v>1627</v>
      </c>
      <c r="AI29" s="8">
        <v>162</v>
      </c>
      <c r="AJ29" s="7">
        <v>0.25</v>
      </c>
      <c r="AK29" s="7">
        <v>-0.56</v>
      </c>
      <c r="AL29" s="7">
        <v>0.94</v>
      </c>
      <c r="AM29" s="7">
        <v>57.78</v>
      </c>
      <c r="AN29" t="inlineStr">
        <is>
          <t>≥55% 偏漲；≤45% 偏跌；其餘不確定</t>
        </is>
      </c>
      <c r="AO29" t="inlineStr">
        <is>
          <t>偏漲</t>
        </is>
      </c>
      <c r="AP29" s="8">
        <v>149</v>
      </c>
      <c r="AQ29" s="7">
        <v>56.38</v>
      </c>
      <c r="AR29" s="7">
        <v>55.7</v>
      </c>
      <c r="AS29" s="7">
        <v>55.7</v>
      </c>
      <c r="AT29" s="7">
        <v>56.02</v>
      </c>
      <c r="AW29" t="inlineStr">
        <is>
          <t>VOL=低|TREND=多頭|MOM=強|VIXQ=1|SAMPLE=同波動|CALL=偏漲</t>
        </is>
      </c>
      <c r="AX29" t="inlineStr">
        <is>
          <t>S0 資料OK → S1 波動:低(第13分位) → S2 趨勢:多頭 → S3 動能:強(第94分位) → S4 VIX:15.4(第35分位) → S5 同波動樣本 162 段 → S6 偏漲(上漲機率58%)</t>
        </is>
      </c>
      <c r="AY29" t="inlineStr">
        <is>
          <t>過去美元指數（UUP）波動屬「低」時，10 個交易日（約2週）後的漲跌中位數 +0.2%，一半的情況落在 −0.6%～+0.9%，上漲機率 58%（約 162 段獨立樣本）。判定偏漲，主要反映長期上漲傾向，不是當下訊號。走步回測（只算起始日前已到期的決策）方向命中 56%（149 次判定，每週決策的 10 日報酬互相重疊，等效約 74 次獨立判定）、永遠猜漲 56%、永遠猜跌 44%，只比永遠猜漲高 1 個百分點，在隨機誤差內（±11），不能說比較準；預測區間實際涵蓋 56%（理想約 50%）。趨勢多頭、動能強、VIX 15（第 35 分位）只記錄、不參與預測（2008 年起的走步研究裡它們對漲跌沒有預測力）。</t>
        </is>
      </c>
    </row>
    <row r="30">
      <c r="A30" t="inlineStr">
        <is>
          <t>2026-W42-FXY-H10</t>
        </is>
      </c>
      <c r="B30" t="inlineStr">
        <is>
          <t>即時</t>
        </is>
      </c>
      <c r="C30" t="inlineStr">
        <is>
          <t>2026-10-12</t>
        </is>
      </c>
      <c r="D30" t="inlineStr">
        <is>
          <t>v2</t>
        </is>
      </c>
      <c r="E30" t="inlineStr">
        <is>
          <t>短線</t>
        </is>
      </c>
      <c r="F30" s="8">
        <v>10</v>
      </c>
      <c r="G30" t="inlineStr">
        <is>
          <t>2週</t>
        </is>
      </c>
      <c r="H30" t="inlineStr">
        <is>
          <t>日圓</t>
        </is>
      </c>
      <c r="I30" t="inlineStr">
        <is>
          <t>FXY</t>
        </is>
      </c>
      <c r="J30" t="inlineStr">
        <is>
          <t>無</t>
        </is>
      </c>
      <c r="K30" t="inlineStr">
        <is>
          <t>2026-10-09</t>
        </is>
      </c>
      <c r="L30">
        <v>57.9</v>
      </c>
      <c r="M30">
        <v>57.9</v>
      </c>
      <c r="N30" t="inlineStr">
        <is>
          <t>2026-10-23</t>
        </is>
      </c>
      <c r="O30" t="inlineStr">
        <is>
          <t>https://finance.yahoo.com/quote/FXY/history</t>
        </is>
      </c>
      <c r="P30" s="8">
        <v>4946</v>
      </c>
      <c r="Q30" s="8">
        <v>3</v>
      </c>
      <c r="R30" t="inlineStr">
        <is>
          <t>通過</t>
        </is>
      </c>
      <c r="S30" s="7">
        <v>6.05</v>
      </c>
      <c r="T30" s="7">
        <v>6.92</v>
      </c>
      <c r="U30" s="7">
        <v>10.02</v>
      </c>
      <c r="V30" s="7">
        <v>24.44</v>
      </c>
      <c r="W30" t="inlineStr">
        <is>
          <t>低</t>
        </is>
      </c>
      <c r="X30">
        <v>58.1216</v>
      </c>
      <c r="Y30">
        <v>57.9361</v>
      </c>
      <c r="Z30" s="7">
        <v>-0.06</v>
      </c>
      <c r="AA30" t="inlineStr">
        <is>
          <t>盤整</t>
        </is>
      </c>
      <c r="AB30" s="7">
        <v>-2.98</v>
      </c>
      <c r="AC30" s="7">
        <v>12.44</v>
      </c>
      <c r="AD30" t="inlineStr">
        <is>
          <t>弱</t>
        </is>
      </c>
      <c r="AE30" s="7">
        <v>15.41</v>
      </c>
      <c r="AF30" s="7">
        <v>34.54</v>
      </c>
      <c r="AG30" t="inlineStr">
        <is>
          <t>同波動</t>
        </is>
      </c>
      <c r="AH30" s="8">
        <v>1637</v>
      </c>
      <c r="AI30" s="8">
        <v>163</v>
      </c>
      <c r="AJ30" s="7">
        <v>-0.11</v>
      </c>
      <c r="AK30" s="7">
        <v>-0.92</v>
      </c>
      <c r="AL30" s="7">
        <v>0.7</v>
      </c>
      <c r="AM30" s="7">
        <v>45.45</v>
      </c>
      <c r="AN30" t="inlineStr">
        <is>
          <t>≥55% 偏漲；≤45% 偏跌；其餘不確定</t>
        </is>
      </c>
      <c r="AO30" t="inlineStr">
        <is>
          <t>不確定</t>
        </is>
      </c>
      <c r="AP30" s="8">
        <v>125</v>
      </c>
      <c r="AQ30" s="7">
        <v>48.0</v>
      </c>
      <c r="AR30" s="7">
        <v>48.8</v>
      </c>
      <c r="AS30" s="7">
        <v>51.2</v>
      </c>
      <c r="AT30" s="7">
        <v>54.22</v>
      </c>
      <c r="AW30" t="inlineStr">
        <is>
          <t>VOL=低|TREND=盤整|MOM=弱|VIXQ=1|SAMPLE=同波動|CALL=不確定</t>
        </is>
      </c>
      <c r="AX30" t="inlineStr">
        <is>
          <t>S0 資料OK → S1 波動:低(第24分位) → S2 趨勢:盤整 → S3 動能:弱(第12分位) → S4 VIX:15.4(第35分位) → S5 同波動樣本 163 段 → S6 不確定(上漲機率45.5%)</t>
        </is>
      </c>
      <c r="AY30" t="inlineStr">
        <is>
          <t>過去日圓（FXY）波動屬「低」時，10 個交易日（約2週）後的漲跌中位數 −0.1%，一半的情況落在 −0.9%～+0.7%，上漲機率 45.5%（約 163 段獨立樣本）。上漲機率介於 45%～55% 之間，不做方向判斷。走步回測（只算起始日前已到期的決策）方向命中 48%（125 次判定，每週決策的 10 日報酬互相重疊，等效約 62 次獨立判定）、永遠猜漲 49%、永遠猜跌 51%，還不如永遠猜跌（差 3 個百分點）；預測區間實際涵蓋 54%（理想約 50%）。趨勢盤整、動能弱、VIX 15（第 35 分位）只記錄、不參與預測（2008 年起的走步研究裡它們對漲跌沒有預測力）。</t>
        </is>
      </c>
    </row>
    <row r="31">
      <c r="A31" t="inlineStr">
        <is>
          <t>2026-W42-0050.TW-H10</t>
        </is>
      </c>
      <c r="B31" t="inlineStr">
        <is>
          <t>即時</t>
        </is>
      </c>
      <c r="C31" t="inlineStr">
        <is>
          <t>2026-10-12</t>
        </is>
      </c>
      <c r="D31" t="inlineStr">
        <is>
          <t>v2</t>
        </is>
      </c>
      <c r="E31" t="inlineStr">
        <is>
          <t>短線</t>
        </is>
      </c>
      <c r="F31" s="8">
        <v>10</v>
      </c>
      <c r="G31" t="inlineStr">
        <is>
          <t>2週</t>
        </is>
      </c>
      <c r="H31" t="inlineStr">
        <is>
          <t>台股（台灣 50）</t>
        </is>
      </c>
      <c r="I31" t="inlineStr">
        <is>
          <t>0050.TW</t>
        </is>
      </c>
      <c r="J31" t="inlineStr">
        <is>
          <t>006208.TW</t>
        </is>
      </c>
      <c r="K31" t="inlineStr">
        <is>
          <t>2026-10-08</t>
        </is>
      </c>
      <c r="L31">
        <v>114.95</v>
      </c>
      <c r="M31">
        <v>114.95</v>
      </c>
      <c r="N31" t="inlineStr">
        <is>
          <t>2026-10-22</t>
        </is>
      </c>
      <c r="O31" t="inlineStr">
        <is>
          <t>https://finance.yahoo.com/quote/0050.TW/history</t>
        </is>
      </c>
      <c r="P31" s="8">
        <v>4348</v>
      </c>
      <c r="Q31" s="8">
        <v>4</v>
      </c>
      <c r="R31" t="inlineStr">
        <is>
          <t>通過</t>
        </is>
      </c>
      <c r="S31" s="7">
        <v>15.57</v>
      </c>
      <c r="T31" s="7">
        <v>12.84</v>
      </c>
      <c r="U31" s="7">
        <v>17.68</v>
      </c>
      <c r="V31" s="7">
        <v>54.41</v>
      </c>
      <c r="W31" t="inlineStr">
        <is>
          <t>中</t>
        </is>
      </c>
      <c r="X31">
        <v>107.199</v>
      </c>
      <c r="Y31">
        <v>90.5515</v>
      </c>
      <c r="Z31" s="7">
        <v>26.94</v>
      </c>
      <c r="AA31" t="inlineStr">
        <is>
          <t>多頭</t>
        </is>
      </c>
      <c r="AB31" s="7">
        <v>4.83</v>
      </c>
      <c r="AC31" s="7">
        <v>76.04</v>
      </c>
      <c r="AD31" t="inlineStr">
        <is>
          <t>強</t>
        </is>
      </c>
      <c r="AE31" s="7">
        <v>15.41</v>
      </c>
      <c r="AF31" s="7">
        <v>34.54</v>
      </c>
      <c r="AG31" t="inlineStr">
        <is>
          <t>同波動</t>
        </is>
      </c>
      <c r="AH31" s="8">
        <v>1434</v>
      </c>
      <c r="AI31" s="8">
        <v>143</v>
      </c>
      <c r="AJ31" s="7">
        <v>0.72</v>
      </c>
      <c r="AK31" s="7">
        <v>-1.59</v>
      </c>
      <c r="AL31" s="7">
        <v>2.98</v>
      </c>
      <c r="AM31" s="7">
        <v>58.02</v>
      </c>
      <c r="AN31" t="inlineStr">
        <is>
          <t>≥55% 偏漲；≤45% 偏跌；其餘不確定</t>
        </is>
      </c>
      <c r="AO31" t="inlineStr">
        <is>
          <t>偏漲</t>
        </is>
      </c>
      <c r="AP31" s="8">
        <v>462</v>
      </c>
      <c r="AQ31" s="7">
        <v>61.04</v>
      </c>
      <c r="AR31" s="7">
        <v>61.04</v>
      </c>
      <c r="AS31" s="7">
        <v>61.04</v>
      </c>
      <c r="AT31" s="7">
        <v>47.31</v>
      </c>
      <c r="AW31" t="inlineStr">
        <is>
          <t>VOL=中|TREND=多頭|MOM=強|VIXQ=1|SAMPLE=同波動|CALL=偏漲</t>
        </is>
      </c>
      <c r="AX31" t="inlineStr">
        <is>
          <t>S0 資料OK → S1 波動:中(第54分位) → S2 趨勢:多頭 → S3 動能:強(第76分位) → S4 VIX:15.4(第35分位) → S5 同波動樣本 143 段 → S6 偏漲(上漲機率58%)</t>
        </is>
      </c>
      <c r="AY31" t="inlineStr">
        <is>
          <t>過去台股（台灣 50）（0050.TW）波動屬「中」時，10 個交易日（約2週）後的漲跌中位數 +0.7%，一半的情況落在 −1.6%～+3.0%，上漲機率 58%（約 143 段獨立樣本）。判定偏漲，主要反映長期上漲傾向，不是當下訊號。走步回測（只算起始日前已到期的決策）方向命中 61%（462 次判定，每週決策的 10 日報酬互相重疊，等效約 231 次獨立判定）、永遠猜漲 61%、永遠猜跌 39%，和永遠猜漲一樣準，沒有比較準；預測區間實際涵蓋 47%（理想約 50%）。趨勢多頭、動能強、VIX 15（第 35 分位）只記錄、不參與預測（2008 年起的走步研究裡它們對漲跌沒有預測力）。</t>
        </is>
      </c>
    </row>
    <row r="32">
      <c r="A32" t="inlineStr">
        <is>
          <t>2026-W42-2330.TW-H10</t>
        </is>
      </c>
      <c r="B32" t="inlineStr">
        <is>
          <t>即時</t>
        </is>
      </c>
      <c r="C32" t="inlineStr">
        <is>
          <t>2026-10-12</t>
        </is>
      </c>
      <c r="D32" t="inlineStr">
        <is>
          <t>v2</t>
        </is>
      </c>
      <c r="E32" t="inlineStr">
        <is>
          <t>短線</t>
        </is>
      </c>
      <c r="F32" s="8">
        <v>10</v>
      </c>
      <c r="G32" t="inlineStr">
        <is>
          <t>2週</t>
        </is>
      </c>
      <c r="H32" t="inlineStr">
        <is>
          <t>台積電</t>
        </is>
      </c>
      <c r="I32" t="inlineStr">
        <is>
          <t>2330.TW</t>
        </is>
      </c>
      <c r="J32" t="inlineStr">
        <is>
          <t>2330.TW</t>
        </is>
      </c>
      <c r="K32" t="inlineStr">
        <is>
          <t>2026-10-08</t>
        </is>
      </c>
      <c r="L32">
        <v>2550.0</v>
      </c>
      <c r="M32">
        <v>2550.0</v>
      </c>
      <c r="N32" t="inlineStr">
        <is>
          <t>2026-10-22</t>
        </is>
      </c>
      <c r="O32" t="inlineStr">
        <is>
          <t>https://finance.yahoo.com/quote/2330.TW/history</t>
        </is>
      </c>
      <c r="P32" s="8">
        <v>6654</v>
      </c>
      <c r="Q32" s="8">
        <v>4</v>
      </c>
      <c r="R32" t="inlineStr">
        <is>
          <t>通過</t>
        </is>
      </c>
      <c r="S32" s="7">
        <v>18.45</v>
      </c>
      <c r="T32" s="7">
        <v>21.53</v>
      </c>
      <c r="U32" s="7">
        <v>29.97</v>
      </c>
      <c r="V32" s="7">
        <v>17.2</v>
      </c>
      <c r="W32" t="inlineStr">
        <is>
          <t>低</t>
        </is>
      </c>
      <c r="X32">
        <v>2417.1888</v>
      </c>
      <c r="Y32">
        <v>2112.2958</v>
      </c>
      <c r="Z32" s="7">
        <v>20.72</v>
      </c>
      <c r="AA32" t="inlineStr">
        <is>
          <t>多頭</t>
        </is>
      </c>
      <c r="AB32" s="7">
        <v>3.54</v>
      </c>
      <c r="AC32" s="7">
        <v>62.72</v>
      </c>
      <c r="AD32" t="inlineStr">
        <is>
          <t>中</t>
        </is>
      </c>
      <c r="AE32" s="7">
        <v>15.41</v>
      </c>
      <c r="AF32" s="7">
        <v>34.54</v>
      </c>
      <c r="AG32" t="inlineStr">
        <is>
          <t>同波動</t>
        </is>
      </c>
      <c r="AH32" s="8">
        <v>2200</v>
      </c>
      <c r="AI32" s="8">
        <v>220</v>
      </c>
      <c r="AJ32" s="7">
        <v>1.0</v>
      </c>
      <c r="AK32" s="7">
        <v>-1.49</v>
      </c>
      <c r="AL32" s="7">
        <v>3.57</v>
      </c>
      <c r="AM32" s="7">
        <v>59.23</v>
      </c>
      <c r="AN32" t="inlineStr">
        <is>
          <t>≥55% 偏漲；≤45% 偏跌；其餘不確定</t>
        </is>
      </c>
      <c r="AO32" t="inlineStr">
        <is>
          <t>偏漲</t>
        </is>
      </c>
      <c r="AP32" s="8">
        <v>398</v>
      </c>
      <c r="AQ32" s="7">
        <v>60.55</v>
      </c>
      <c r="AR32" s="7">
        <v>60.55</v>
      </c>
      <c r="AS32" s="7">
        <v>60.55</v>
      </c>
      <c r="AT32" s="7">
        <v>53.06</v>
      </c>
      <c r="AW32" t="inlineStr">
        <is>
          <t>VOL=低|TREND=多頭|MOM=中|VIXQ=1|SAMPLE=同波動|CALL=偏漲</t>
        </is>
      </c>
      <c r="AX32" t="inlineStr">
        <is>
          <t>S0 資料OK → S1 波動:低(第17分位) → S2 趨勢:多頭 → S3 動能:中(第63分位) → S4 VIX:15.4(第35分位) → S5 同波動樣本 220 段 → S6 偏漲(上漲機率59%)</t>
        </is>
      </c>
      <c r="AY32" t="inlineStr">
        <is>
          <t>過去台積電（2330.TW）波動屬「低」時，10 個交易日（約2週）後的漲跌中位數 +1.0%，一半的情況落在 −1.5%～+3.6%，上漲機率 59%（約 220 段獨立樣本）。判定偏漲，主要反映長期上漲傾向，不是當下訊號。走步回測（只算起始日前已到期的決策）方向命中 61%（398 次判定，每週決策的 10 日報酬互相重疊，等效約 199 次獨立判定）、永遠猜漲 61%、永遠猜跌 39%，和永遠猜漲一樣準，沒有比較準；預測區間實際涵蓋 53%（理想約 50%）。趨勢多頭、動能中、VIX 15（第 35 分位）只記錄、不參與預測（2008 年起的走步研究裡它們對漲跌沒有預測力）。</t>
        </is>
      </c>
    </row>
    <row r="33">
      <c r="A33" t="inlineStr">
        <is>
          <t>2026-W42-SOXX-H10</t>
        </is>
      </c>
      <c r="B33" t="inlineStr">
        <is>
          <t>即時</t>
        </is>
      </c>
      <c r="C33" t="inlineStr">
        <is>
          <t>2026-10-12</t>
        </is>
      </c>
      <c r="D33" t="inlineStr">
        <is>
          <t>v2</t>
        </is>
      </c>
      <c r="E33" t="inlineStr">
        <is>
          <t>短線</t>
        </is>
      </c>
      <c r="F33" s="8">
        <v>10</v>
      </c>
      <c r="G33" t="inlineStr">
        <is>
          <t>2週</t>
        </is>
      </c>
      <c r="H33" t="inlineStr">
        <is>
          <t>美國半導體</t>
        </is>
      </c>
      <c r="I33" t="inlineStr">
        <is>
          <t>SOXX</t>
        </is>
      </c>
      <c r="J33" t="inlineStr">
        <is>
          <t>00891.TW</t>
        </is>
      </c>
      <c r="K33" t="inlineStr">
        <is>
          <t>2026-10-09</t>
        </is>
      </c>
      <c r="L33">
        <v>559.4</v>
      </c>
      <c r="M33">
        <v>559.4</v>
      </c>
      <c r="N33" t="inlineStr">
        <is>
          <t>2026-10-23</t>
        </is>
      </c>
      <c r="O33" t="inlineStr">
        <is>
          <t>https://finance.yahoo.com/quote/SOXX/history</t>
        </is>
      </c>
      <c r="P33" s="8">
        <v>6348</v>
      </c>
      <c r="Q33" s="8">
        <v>3</v>
      </c>
      <c r="R33" t="inlineStr">
        <is>
          <t>通過</t>
        </is>
      </c>
      <c r="S33" s="7">
        <v>36.86</v>
      </c>
      <c r="T33" s="7">
        <v>21.34</v>
      </c>
      <c r="U33" s="7">
        <v>31.99</v>
      </c>
      <c r="V33" s="7">
        <v>78.79</v>
      </c>
      <c r="W33" t="inlineStr">
        <is>
          <t>高</t>
        </is>
      </c>
      <c r="X33">
        <v>537.1535</v>
      </c>
      <c r="Y33">
        <v>461.7526</v>
      </c>
      <c r="Z33" s="7">
        <v>21.15</v>
      </c>
      <c r="AA33" t="inlineStr">
        <is>
          <t>多頭</t>
        </is>
      </c>
      <c r="AB33" s="7">
        <v>6.2</v>
      </c>
      <c r="AC33" s="7">
        <v>73.7</v>
      </c>
      <c r="AD33" t="inlineStr">
        <is>
          <t>強</t>
        </is>
      </c>
      <c r="AE33" s="7">
        <v>15.41</v>
      </c>
      <c r="AF33" s="7">
        <v>34.54</v>
      </c>
      <c r="AG33" t="inlineStr">
        <is>
          <t>同波動</t>
        </is>
      </c>
      <c r="AH33" s="8">
        <v>2100</v>
      </c>
      <c r="AI33" s="8">
        <v>210</v>
      </c>
      <c r="AJ33" s="7">
        <v>1.08</v>
      </c>
      <c r="AK33" s="7">
        <v>-4.1</v>
      </c>
      <c r="AL33" s="7">
        <v>6.13</v>
      </c>
      <c r="AM33" s="7">
        <v>56.24</v>
      </c>
      <c r="AN33" t="inlineStr">
        <is>
          <t>≥55% 偏漲；≤45% 偏跌；其餘不確定</t>
        </is>
      </c>
      <c r="AO33" t="inlineStr">
        <is>
          <t>偏漲</t>
        </is>
      </c>
      <c r="AP33" s="8">
        <v>491</v>
      </c>
      <c r="AQ33" s="7">
        <v>59.27</v>
      </c>
      <c r="AR33" s="7">
        <v>59.47</v>
      </c>
      <c r="AS33" s="7">
        <v>59.47</v>
      </c>
      <c r="AT33" s="7">
        <v>47.8</v>
      </c>
      <c r="AW33" t="inlineStr">
        <is>
          <t>VOL=高|TREND=多頭|MOM=強|VIXQ=1|SAMPLE=同波動|CALL=偏漲</t>
        </is>
      </c>
      <c r="AX33" t="inlineStr">
        <is>
          <t>S0 資料OK → S1 波動:高(第79分位) → S2 趨勢:多頭 → S3 動能:強(第74分位) → S4 VIX:15.4(第35分位) → S5 同波動樣本 210 段 → S6 偏漲(上漲機率56%)</t>
        </is>
      </c>
      <c r="AY33" t="inlineStr">
        <is>
          <t>過去美國半導體（SOXX）波動屬「高」時，10 個交易日（約2週）後的漲跌中位數 +1.1%，一半的情況落在 −4.1%～+6.1%，上漲機率 56%（約 210 段獨立樣本）。判定偏漲，主要反映長期上漲傾向，不是當下訊號。走步回測（只算起始日前已到期的決策）方向命中 59%（491 次判定，每週決策的 10 日報酬互相重疊，等效約 246 次獨立判定）、永遠猜漲 59%、永遠猜跌 41%，和永遠猜漲一樣準，沒有比較準；預測區間實際涵蓋 48%（理想約 50%）。趨勢多頭、動能強、VIX 15（第 35 分位）只記錄、不參與預測（2008 年起的走步研究裡它們對漲跌沒有預測力）。</t>
        </is>
      </c>
    </row>
    <row r="34">
      <c r="A34" t="inlineStr">
        <is>
          <t>2026-W42-SPY-H10</t>
        </is>
      </c>
      <c r="B34" t="inlineStr">
        <is>
          <t>即時</t>
        </is>
      </c>
      <c r="C34" t="inlineStr">
        <is>
          <t>2026-10-12</t>
        </is>
      </c>
      <c r="D34" t="inlineStr">
        <is>
          <t>v2</t>
        </is>
      </c>
      <c r="E34" t="inlineStr">
        <is>
          <t>短線</t>
        </is>
      </c>
      <c r="F34" s="8">
        <v>10</v>
      </c>
      <c r="G34" t="inlineStr">
        <is>
          <t>2週</t>
        </is>
      </c>
      <c r="H34" t="inlineStr">
        <is>
          <t>美股 S&amp;P 500</t>
        </is>
      </c>
      <c r="I34" t="inlineStr">
        <is>
          <t>SPY</t>
        </is>
      </c>
      <c r="J34" t="inlineStr">
        <is>
          <t>00646.TW</t>
        </is>
      </c>
      <c r="K34" t="inlineStr">
        <is>
          <t>2026-10-09</t>
        </is>
      </c>
      <c r="L34">
        <v>778.57</v>
      </c>
      <c r="M34">
        <v>778.57</v>
      </c>
      <c r="N34" t="inlineStr">
        <is>
          <t>2026-10-23</t>
        </is>
      </c>
      <c r="O34" t="inlineStr">
        <is>
          <t>https://finance.yahoo.com/quote/SPY/history</t>
        </is>
      </c>
      <c r="P34" s="8">
        <v>8482</v>
      </c>
      <c r="Q34" s="8">
        <v>3</v>
      </c>
      <c r="R34" t="inlineStr">
        <is>
          <t>通過</t>
        </is>
      </c>
      <c r="S34" s="7">
        <v>9.67</v>
      </c>
      <c r="T34" s="7">
        <v>10.4</v>
      </c>
      <c r="U34" s="7">
        <v>16.28</v>
      </c>
      <c r="V34" s="7">
        <v>27.14</v>
      </c>
      <c r="W34" t="inlineStr">
        <is>
          <t>低</t>
        </is>
      </c>
      <c r="X34">
        <v>766.2836</v>
      </c>
      <c r="Y34">
        <v>719.6578</v>
      </c>
      <c r="Z34" s="7">
        <v>8.19</v>
      </c>
      <c r="AA34" t="inlineStr">
        <is>
          <t>多頭</t>
        </is>
      </c>
      <c r="AB34" s="7">
        <v>2.12</v>
      </c>
      <c r="AC34" s="7">
        <v>58.82</v>
      </c>
      <c r="AD34" t="inlineStr">
        <is>
          <t>中</t>
        </is>
      </c>
      <c r="AE34" s="7">
        <v>15.41</v>
      </c>
      <c r="AF34" s="7">
        <v>34.54</v>
      </c>
      <c r="AG34" t="inlineStr">
        <is>
          <t>同波動</t>
        </is>
      </c>
      <c r="AH34" s="8">
        <v>2803</v>
      </c>
      <c r="AI34" s="8">
        <v>280</v>
      </c>
      <c r="AJ34" s="7">
        <v>0.56</v>
      </c>
      <c r="AK34" s="7">
        <v>-0.63</v>
      </c>
      <c r="AL34" s="7">
        <v>1.62</v>
      </c>
      <c r="AM34" s="7">
        <v>63.4</v>
      </c>
      <c r="AN34" t="inlineStr">
        <is>
          <t>≥55% 偏漲；≤45% 偏跌；其餘不確定</t>
        </is>
      </c>
      <c r="AO34" t="inlineStr">
        <is>
          <t>偏漲</t>
        </is>
      </c>
      <c r="AP34" s="8">
        <v>953</v>
      </c>
      <c r="AQ34" s="7">
        <v>64.43</v>
      </c>
      <c r="AR34" s="7">
        <v>64.43</v>
      </c>
      <c r="AS34" s="7">
        <v>64.43</v>
      </c>
      <c r="AT34" s="7">
        <v>46.57</v>
      </c>
      <c r="AW34" t="inlineStr">
        <is>
          <t>VOL=低|TREND=多頭|MOM=中|VIXQ=1|SAMPLE=同波動|CALL=偏漲</t>
        </is>
      </c>
      <c r="AX34" t="inlineStr">
        <is>
          <t>S0 資料OK → S1 波動:低(第27分位) → S2 趨勢:多頭 → S3 動能:中(第59分位) → S4 VIX:15.4(第35分位) → S5 同波動樣本 280 段 → S6 偏漲(上漲機率63%)</t>
        </is>
      </c>
      <c r="AY34" t="inlineStr">
        <is>
          <t>過去美股 S&amp;P 500（SPY）波動屬「低」時，10 個交易日（約2週）後的漲跌中位數 +0.6%，一半的情況落在 −0.6%～+1.6%，上漲機率 63%（約 280 段獨立樣本）。判定偏漲，主要反映長期上漲傾向，不是當下訊號。走步回測（只算起始日前已到期的決策）方向命中 64%（953 次判定，每週決策的 10 日報酬互相重疊，等效約 476 次獨立判定）、永遠猜漲 64%、永遠猜跌 36%，和永遠猜漲一樣準，沒有比較準；預測區間實際涵蓋 47%（理想約 50%）。趨勢多頭、動能中、VIX 15（第 35 分位）只記錄、不參與預測（2008 年起的走步研究裡它們對漲跌沒有預測力）。</t>
        </is>
      </c>
    </row>
    <row r="35">
      <c r="A35" t="inlineStr">
        <is>
          <t>2026-W42-QQQ-H10</t>
        </is>
      </c>
      <c r="B35" t="inlineStr">
        <is>
          <t>即時</t>
        </is>
      </c>
      <c r="C35" t="inlineStr">
        <is>
          <t>2026-10-12</t>
        </is>
      </c>
      <c r="D35" t="inlineStr">
        <is>
          <t>v2</t>
        </is>
      </c>
      <c r="E35" t="inlineStr">
        <is>
          <t>短線</t>
        </is>
      </c>
      <c r="F35" s="8">
        <v>10</v>
      </c>
      <c r="G35" t="inlineStr">
        <is>
          <t>2週</t>
        </is>
      </c>
      <c r="H35" t="inlineStr">
        <is>
          <t>那斯達克 100</t>
        </is>
      </c>
      <c r="I35" t="inlineStr">
        <is>
          <t>QQQ</t>
        </is>
      </c>
      <c r="J35" t="inlineStr">
        <is>
          <t>00662.TW</t>
        </is>
      </c>
      <c r="K35" t="inlineStr">
        <is>
          <t>2026-10-09</t>
        </is>
      </c>
      <c r="L35">
        <v>751.27</v>
      </c>
      <c r="M35">
        <v>751.27</v>
      </c>
      <c r="N35" t="inlineStr">
        <is>
          <t>2026-10-23</t>
        </is>
      </c>
      <c r="O35" t="inlineStr">
        <is>
          <t>https://finance.yahoo.com/quote/QQQ/history</t>
        </is>
      </c>
      <c r="P35" s="8">
        <v>6940</v>
      </c>
      <c r="Q35" s="8">
        <v>3</v>
      </c>
      <c r="R35" t="inlineStr">
        <is>
          <t>通過</t>
        </is>
      </c>
      <c r="S35" s="7">
        <v>15.16</v>
      </c>
      <c r="T35" s="7">
        <v>14.43</v>
      </c>
      <c r="U35" s="7">
        <v>22.78</v>
      </c>
      <c r="V35" s="7">
        <v>37.33</v>
      </c>
      <c r="W35" t="inlineStr">
        <is>
          <t>中</t>
        </is>
      </c>
      <c r="X35">
        <v>724.0022</v>
      </c>
      <c r="Y35">
        <v>670.8764</v>
      </c>
      <c r="Z35" s="7">
        <v>11.98</v>
      </c>
      <c r="AA35" t="inlineStr">
        <is>
          <t>多頭</t>
        </is>
      </c>
      <c r="AB35" s="7">
        <v>5.2</v>
      </c>
      <c r="AC35" s="7">
        <v>77.4</v>
      </c>
      <c r="AD35" t="inlineStr">
        <is>
          <t>強</t>
        </is>
      </c>
      <c r="AE35" s="7">
        <v>15.41</v>
      </c>
      <c r="AF35" s="7">
        <v>34.54</v>
      </c>
      <c r="AG35" t="inlineStr">
        <is>
          <t>同波動</t>
        </is>
      </c>
      <c r="AH35" s="8">
        <v>2297</v>
      </c>
      <c r="AI35" s="8">
        <v>229</v>
      </c>
      <c r="AJ35" s="7">
        <v>1.22</v>
      </c>
      <c r="AK35" s="7">
        <v>-1.16</v>
      </c>
      <c r="AL35" s="7">
        <v>3.33</v>
      </c>
      <c r="AM35" s="7">
        <v>65.3</v>
      </c>
      <c r="AN35" t="inlineStr">
        <is>
          <t>≥55% 偏漲；≤45% 偏跌；其餘不確定</t>
        </is>
      </c>
      <c r="AO35" t="inlineStr">
        <is>
          <t>偏漲</t>
        </is>
      </c>
      <c r="AP35" s="8">
        <v>813</v>
      </c>
      <c r="AQ35" s="7">
        <v>64.33</v>
      </c>
      <c r="AR35" s="7">
        <v>64.45</v>
      </c>
      <c r="AS35" s="7">
        <v>64.45</v>
      </c>
      <c r="AT35" s="7">
        <v>51.79</v>
      </c>
      <c r="AW35" t="inlineStr">
        <is>
          <t>VOL=中|TREND=多頭|MOM=強|VIXQ=1|SAMPLE=同波動|CALL=偏漲</t>
        </is>
      </c>
      <c r="AX35" t="inlineStr">
        <is>
          <t>S0 資料OK → S1 波動:中(第37分位) → S2 趨勢:多頭 → S3 動能:強(第77分位) → S4 VIX:15.4(第35分位) → S5 同波動樣本 229 段 → S6 偏漲(上漲機率65%)</t>
        </is>
      </c>
      <c r="AY35" t="inlineStr">
        <is>
          <t>過去那斯達克 100（QQQ）波動屬「中」時，10 個交易日（約2週）後的漲跌中位數 +1.2%，一半的情況落在 −1.2%～+3.3%，上漲機率 65%（約 229 段獨立樣本）。判定偏漲，主要反映長期上漲傾向，不是當下訊號。走步回測（只算起始日前已到期的決策）方向命中 64%（813 次判定，每週決策的 10 日報酬互相重疊，等效約 406 次獨立判定）、永遠猜漲 64%、永遠猜跌 36%，和永遠猜漲一樣準，沒有比較準；預測區間實際涵蓋 52%（理想約 50%）。趨勢多頭、動能強、VIX 15（第 35 分位）只記錄、不參與預測（2008 年起的走步研究裡它們對漲跌沒有預測力）。</t>
        </is>
      </c>
    </row>
    <row r="36">
      <c r="A36" t="inlineStr">
        <is>
          <t>2026-W42-EWJ-H10</t>
        </is>
      </c>
      <c r="B36" t="inlineStr">
        <is>
          <t>即時</t>
        </is>
      </c>
      <c r="C36" t="inlineStr">
        <is>
          <t>2026-10-12</t>
        </is>
      </c>
      <c r="D36" t="inlineStr">
        <is>
          <t>v2</t>
        </is>
      </c>
      <c r="E36" t="inlineStr">
        <is>
          <t>短線</t>
        </is>
      </c>
      <c r="F36" s="8">
        <v>10</v>
      </c>
      <c r="G36" t="inlineStr">
        <is>
          <t>2週</t>
        </is>
      </c>
      <c r="H36" t="inlineStr">
        <is>
          <t>日股</t>
        </is>
      </c>
      <c r="I36" t="inlineStr">
        <is>
          <t>EWJ</t>
        </is>
      </c>
      <c r="J36" t="inlineStr">
        <is>
          <t>00645.TW</t>
        </is>
      </c>
      <c r="K36" t="inlineStr">
        <is>
          <t>2026-10-09</t>
        </is>
      </c>
      <c r="L36">
        <v>97.86</v>
      </c>
      <c r="M36">
        <v>97.86</v>
      </c>
      <c r="N36" t="inlineStr">
        <is>
          <t>2026-10-23</t>
        </is>
      </c>
      <c r="O36" t="inlineStr">
        <is>
          <t>https://finance.yahoo.com/quote/EWJ/history</t>
        </is>
      </c>
      <c r="P36" s="8">
        <v>7691</v>
      </c>
      <c r="Q36" s="8">
        <v>3</v>
      </c>
      <c r="R36" t="inlineStr">
        <is>
          <t>通過</t>
        </is>
      </c>
      <c r="S36" s="7">
        <v>16.55</v>
      </c>
      <c r="T36" s="7">
        <v>14.96</v>
      </c>
      <c r="U36" s="7">
        <v>21.14</v>
      </c>
      <c r="V36" s="7">
        <v>43.63</v>
      </c>
      <c r="W36" t="inlineStr">
        <is>
          <t>中</t>
        </is>
      </c>
      <c r="X36">
        <v>96.715</v>
      </c>
      <c r="Y36">
        <v>90.5616</v>
      </c>
      <c r="Z36" s="7">
        <v>8.06</v>
      </c>
      <c r="AA36" t="inlineStr">
        <is>
          <t>多頭</t>
        </is>
      </c>
      <c r="AB36" s="7">
        <v>-0.71</v>
      </c>
      <c r="AC36" s="7">
        <v>38.94</v>
      </c>
      <c r="AD36" t="inlineStr">
        <is>
          <t>中</t>
        </is>
      </c>
      <c r="AE36" s="7">
        <v>15.41</v>
      </c>
      <c r="AF36" s="7">
        <v>34.54</v>
      </c>
      <c r="AG36" t="inlineStr">
        <is>
          <t>同波動</t>
        </is>
      </c>
      <c r="AH36" s="8">
        <v>2543</v>
      </c>
      <c r="AI36" s="8">
        <v>254</v>
      </c>
      <c r="AJ36" s="7">
        <v>0.41</v>
      </c>
      <c r="AK36" s="7">
        <v>-1.9</v>
      </c>
      <c r="AL36" s="7">
        <v>2.48</v>
      </c>
      <c r="AM36" s="7">
        <v>53.87</v>
      </c>
      <c r="AN36" t="inlineStr">
        <is>
          <t>≥55% 偏漲；≤45% 偏跌；其餘不確定</t>
        </is>
      </c>
      <c r="AO36" t="inlineStr">
        <is>
          <t>不確定</t>
        </is>
      </c>
      <c r="AP36" s="8">
        <v>21</v>
      </c>
      <c r="AQ36" s="7">
        <v>47.62</v>
      </c>
      <c r="AR36" s="7">
        <v>61.9</v>
      </c>
      <c r="AS36" s="7">
        <v>61.9</v>
      </c>
      <c r="AT36" s="7">
        <v>55.99</v>
      </c>
      <c r="AW36" t="inlineStr">
        <is>
          <t>VOL=中|TREND=多頭|MOM=中|VIXQ=1|SAMPLE=同波動|CALL=不確定</t>
        </is>
      </c>
      <c r="AX36" t="inlineStr">
        <is>
          <t>S0 資料OK → S1 波動:中(第44分位) → S2 趨勢:多頭 → S3 動能:中(第39分位) → S4 VIX:15.4(第35分位) → S5 同波動樣本 254 段 → S6 不確定(上漲機率54%)</t>
        </is>
      </c>
      <c r="AY36" t="inlineStr">
        <is>
          <t>過去日股（EWJ）波動屬「中」時，10 個交易日（約2週）後的漲跌中位數 +0.4%，一半的情況落在 −1.9%～+2.5%，上漲機率 54%（約 254 段獨立樣本）。上漲機率介於 45%～55% 之間，不做方向判斷。走步回測（只算起始日前已到期的決策）方向命中 48%（21 次判定，每週決策的 10 日報酬互相重疊，等效約 10 次獨立判定）、永遠猜漲 62%、永遠猜跌 38%，還不如永遠猜漲（差 14 個百分點）；預測區間實際涵蓋 56%（理想約 50%）。趨勢多頭、動能中、VIX 15（第 35 分位）只記錄、不參與預測（2008 年起的走步研究裡它們對漲跌沒有預測力）。</t>
        </is>
      </c>
    </row>
    <row r="37">
      <c r="A37" t="inlineStr">
        <is>
          <t>2026-W42-EWH-H10</t>
        </is>
      </c>
      <c r="B37" t="inlineStr">
        <is>
          <t>即時</t>
        </is>
      </c>
      <c r="C37" t="inlineStr">
        <is>
          <t>2026-10-12</t>
        </is>
      </c>
      <c r="D37" t="inlineStr">
        <is>
          <t>v2</t>
        </is>
      </c>
      <c r="E37" t="inlineStr">
        <is>
          <t>短線</t>
        </is>
      </c>
      <c r="F37" s="8">
        <v>10</v>
      </c>
      <c r="G37" t="inlineStr">
        <is>
          <t>2週</t>
        </is>
      </c>
      <c r="H37" t="inlineStr">
        <is>
          <t>港股</t>
        </is>
      </c>
      <c r="I37" t="inlineStr">
        <is>
          <t>EWH</t>
        </is>
      </c>
      <c r="J37" t="inlineStr">
        <is>
          <t>無</t>
        </is>
      </c>
      <c r="K37" t="inlineStr">
        <is>
          <t>2026-10-09</t>
        </is>
      </c>
      <c r="L37">
        <v>22.06</v>
      </c>
      <c r="M37">
        <v>22.06</v>
      </c>
      <c r="N37" t="inlineStr">
        <is>
          <t>2026-10-23</t>
        </is>
      </c>
      <c r="O37" t="inlineStr">
        <is>
          <t>https://finance.yahoo.com/quote/EWH/history</t>
        </is>
      </c>
      <c r="P37" s="8">
        <v>7691</v>
      </c>
      <c r="Q37" s="8">
        <v>3</v>
      </c>
      <c r="R37" t="inlineStr">
        <is>
          <t>通過</t>
        </is>
      </c>
      <c r="S37" s="7">
        <v>17.13</v>
      </c>
      <c r="T37" s="7">
        <v>15.83</v>
      </c>
      <c r="U37" s="7">
        <v>23.13</v>
      </c>
      <c r="V37" s="7">
        <v>42.28</v>
      </c>
      <c r="W37" t="inlineStr">
        <is>
          <t>中</t>
        </is>
      </c>
      <c r="X37">
        <v>22.5658</v>
      </c>
      <c r="Y37">
        <v>22.5373</v>
      </c>
      <c r="Z37" s="7">
        <v>-2.12</v>
      </c>
      <c r="AA37" t="inlineStr">
        <is>
          <t>盤整</t>
        </is>
      </c>
      <c r="AB37" s="7">
        <v>-2.04</v>
      </c>
      <c r="AC37" s="7">
        <v>30.54</v>
      </c>
      <c r="AD37" t="inlineStr">
        <is>
          <t>弱</t>
        </is>
      </c>
      <c r="AE37" s="7">
        <v>15.41</v>
      </c>
      <c r="AF37" s="7">
        <v>34.54</v>
      </c>
      <c r="AG37" t="inlineStr">
        <is>
          <t>同波動</t>
        </is>
      </c>
      <c r="AH37" s="8">
        <v>2547</v>
      </c>
      <c r="AI37" s="8">
        <v>254</v>
      </c>
      <c r="AJ37" s="7">
        <v>0.36</v>
      </c>
      <c r="AK37" s="7">
        <v>-2.29</v>
      </c>
      <c r="AL37" s="7">
        <v>2.75</v>
      </c>
      <c r="AM37" s="7">
        <v>53.16</v>
      </c>
      <c r="AN37" t="inlineStr">
        <is>
          <t>≥55% 偏漲；≤45% 偏跌；其餘不確定</t>
        </is>
      </c>
      <c r="AO37" t="inlineStr">
        <is>
          <t>不確定</t>
        </is>
      </c>
      <c r="AP37" s="8">
        <v>548</v>
      </c>
      <c r="AQ37" s="7">
        <v>51.46</v>
      </c>
      <c r="AR37" s="7">
        <v>51.28</v>
      </c>
      <c r="AS37" s="7">
        <v>51.28</v>
      </c>
      <c r="AT37" s="7">
        <v>48.82</v>
      </c>
      <c r="AW37" t="inlineStr">
        <is>
          <t>VOL=中|TREND=盤整|MOM=弱|VIXQ=1|SAMPLE=同波動|CALL=不確定</t>
        </is>
      </c>
      <c r="AX37" t="inlineStr">
        <is>
          <t>S0 資料OK → S1 波動:中(第42分位) → S2 趨勢:盤整 → S3 動能:弱(第31分位) → S4 VIX:15.4(第35分位) → S5 同波動樣本 254 段 → S6 不確定(上漲機率53%)</t>
        </is>
      </c>
      <c r="AY37" t="inlineStr">
        <is>
          <t>過去港股（EWH）波動屬「中」時，10 個交易日（約2週）後的漲跌中位數 +0.4%，一半的情況落在 −2.3%～+2.8%，上漲機率 53%（約 254 段獨立樣本）。上漲機率介於 45%～55% 之間，不做方向判斷。走步回測（只算起始日前已到期的決策）方向命中 51%（548 次判定，每週決策的 10 日報酬互相重疊，等效約 274 次獨立判定）、永遠猜漲 51%、永遠猜跌 49%，和永遠猜漲一樣準，沒有比較準；預測區間實際涵蓋 49%（理想約 50%）。趨勢盤整、動能弱、VIX 15（第 35 分位）只記錄、不參與預測（2008 年起的走步研究裡它們對漲跌沒有預測力）。</t>
        </is>
      </c>
    </row>
    <row r="38">
      <c r="A38" t="inlineStr">
        <is>
          <t>2026-W42-USO-H10</t>
        </is>
      </c>
      <c r="B38" t="inlineStr">
        <is>
          <t>即時</t>
        </is>
      </c>
      <c r="C38" t="inlineStr">
        <is>
          <t>2026-10-12</t>
        </is>
      </c>
      <c r="D38" t="inlineStr">
        <is>
          <t>v2</t>
        </is>
      </c>
      <c r="E38" t="inlineStr">
        <is>
          <t>短線</t>
        </is>
      </c>
      <c r="F38" s="8">
        <v>10</v>
      </c>
      <c r="G38" t="inlineStr">
        <is>
          <t>2週</t>
        </is>
      </c>
      <c r="H38" t="inlineStr">
        <is>
          <t>原油</t>
        </is>
      </c>
      <c r="I38" t="inlineStr">
        <is>
          <t>USO</t>
        </is>
      </c>
      <c r="J38" t="inlineStr">
        <is>
          <t>00642U.TW</t>
        </is>
      </c>
      <c r="K38" t="inlineStr">
        <is>
          <t>2026-10-09</t>
        </is>
      </c>
      <c r="L38">
        <v>148.2</v>
      </c>
      <c r="M38">
        <v>148.2</v>
      </c>
      <c r="N38" t="inlineStr">
        <is>
          <t>2026-10-23</t>
        </is>
      </c>
      <c r="O38" t="inlineStr">
        <is>
          <t>https://finance.yahoo.com/quote/USO/history</t>
        </is>
      </c>
      <c r="P38" s="8">
        <v>5158</v>
      </c>
      <c r="Q38" s="8">
        <v>3</v>
      </c>
      <c r="R38" t="inlineStr">
        <is>
          <t>通過</t>
        </is>
      </c>
      <c r="S38" s="7">
        <v>39.6</v>
      </c>
      <c r="T38" s="7">
        <v>23.9</v>
      </c>
      <c r="U38" s="7">
        <v>33.8</v>
      </c>
      <c r="V38" s="7">
        <v>79.6</v>
      </c>
      <c r="W38" t="inlineStr">
        <is>
          <t>高</t>
        </is>
      </c>
      <c r="X38">
        <v>139.1642</v>
      </c>
      <c r="Y38">
        <v>117.1202</v>
      </c>
      <c r="Z38" s="7">
        <v>26.54</v>
      </c>
      <c r="AA38" t="inlineStr">
        <is>
          <t>多頭</t>
        </is>
      </c>
      <c r="AB38" s="7">
        <v>-4.33</v>
      </c>
      <c r="AC38" s="7">
        <v>29.47</v>
      </c>
      <c r="AD38" t="inlineStr">
        <is>
          <t>弱</t>
        </is>
      </c>
      <c r="AE38" s="7">
        <v>15.41</v>
      </c>
      <c r="AF38" s="7">
        <v>34.54</v>
      </c>
      <c r="AG38" t="inlineStr">
        <is>
          <t>同波動</t>
        </is>
      </c>
      <c r="AH38" s="8">
        <v>1703</v>
      </c>
      <c r="AI38" s="8">
        <v>170</v>
      </c>
      <c r="AJ38" s="7">
        <v>0.9</v>
      </c>
      <c r="AK38" s="7">
        <v>-4.68</v>
      </c>
      <c r="AL38" s="7">
        <v>5.66</v>
      </c>
      <c r="AM38" s="7">
        <v>55.02</v>
      </c>
      <c r="AN38" t="inlineStr">
        <is>
          <t>≥55% 偏漲；≤45% 偏跌；其餘不確定</t>
        </is>
      </c>
      <c r="AO38" t="inlineStr">
        <is>
          <t>偏漲</t>
        </is>
      </c>
      <c r="AP38" s="8">
        <v>113</v>
      </c>
      <c r="AQ38" s="7">
        <v>34.51</v>
      </c>
      <c r="AR38" s="7">
        <v>47.79</v>
      </c>
      <c r="AS38" s="7">
        <v>52.21</v>
      </c>
      <c r="AT38" s="7">
        <v>51.4</v>
      </c>
      <c r="AW38" t="inlineStr">
        <is>
          <t>VOL=高|TREND=多頭|MOM=弱|VIXQ=1|SAMPLE=同波動|CALL=偏漲</t>
        </is>
      </c>
      <c r="AX38" t="inlineStr">
        <is>
          <t>S0 資料OK → S1 波動:高(第80分位) → S2 趨勢:多頭 → S3 動能:弱(第29分位) → S4 VIX:15.4(第35分位) → S5 同波動樣本 170 段 → S6 偏漲(上漲機率55.0%)</t>
        </is>
      </c>
      <c r="AY38" t="inlineStr">
        <is>
          <t>過去原油（USO）波動屬「高」時，10 個交易日（約2週）後的漲跌中位數 +0.9%，一半的情況落在 −4.7%～+5.7%，上漲機率 55.0%（約 170 段獨立樣本）。判定偏漲，主要反映長期上漲傾向，不是當下訊號。走步回測（只算起始日前已到期的決策）方向命中 35%（113 次判定，每週決策的 10 日報酬互相重疊，等效約 56 次獨立判定）、永遠猜漲 48%、永遠猜跌 52%，還不如永遠猜跌（差 18 個百分點）；預測區間實際涵蓋 51%（理想約 50%）。趨勢多頭、動能弱、VIX 15（第 35 分位）只記錄、不參與預測（2008 年起的走步研究裡它們對漲跌沒有預測力）。</t>
        </is>
      </c>
    </row>
    <row r="39">
      <c r="A39" t="inlineStr">
        <is>
          <t>2026-W42-UNG-H10</t>
        </is>
      </c>
      <c r="B39" t="inlineStr">
        <is>
          <t>即時</t>
        </is>
      </c>
      <c r="C39" t="inlineStr">
        <is>
          <t>2026-10-12</t>
        </is>
      </c>
      <c r="D39" t="inlineStr">
        <is>
          <t>v2</t>
        </is>
      </c>
      <c r="E39" t="inlineStr">
        <is>
          <t>短線</t>
        </is>
      </c>
      <c r="F39" s="8">
        <v>10</v>
      </c>
      <c r="G39" t="inlineStr">
        <is>
          <t>2週</t>
        </is>
      </c>
      <c r="H39" t="inlineStr">
        <is>
          <t>天然氣</t>
        </is>
      </c>
      <c r="I39" t="inlineStr">
        <is>
          <t>UNG</t>
        </is>
      </c>
      <c r="J39" t="inlineStr">
        <is>
          <t>無</t>
        </is>
      </c>
      <c r="K39" t="inlineStr">
        <is>
          <t>2026-10-09</t>
        </is>
      </c>
      <c r="L39">
        <v>11.01</v>
      </c>
      <c r="M39">
        <v>11.01</v>
      </c>
      <c r="N39" t="inlineStr">
        <is>
          <t>2026-10-23</t>
        </is>
      </c>
      <c r="O39" t="inlineStr">
        <is>
          <t>https://finance.yahoo.com/quote/UNG/history</t>
        </is>
      </c>
      <c r="P39" s="8">
        <v>4902</v>
      </c>
      <c r="Q39" s="8">
        <v>3</v>
      </c>
      <c r="R39" t="inlineStr">
        <is>
          <t>通過</t>
        </is>
      </c>
      <c r="S39" s="7">
        <v>43.54</v>
      </c>
      <c r="T39" s="7">
        <v>33.09</v>
      </c>
      <c r="U39" s="7">
        <v>48.66</v>
      </c>
      <c r="V39" s="7">
        <v>55.94</v>
      </c>
      <c r="W39" t="inlineStr">
        <is>
          <t>中</t>
        </is>
      </c>
      <c r="X39">
        <v>10.3518</v>
      </c>
      <c r="Y39">
        <v>11.3225</v>
      </c>
      <c r="Z39" s="7">
        <v>-2.76</v>
      </c>
      <c r="AA39" t="inlineStr">
        <is>
          <t>空頭</t>
        </is>
      </c>
      <c r="AB39" s="7">
        <v>8.26</v>
      </c>
      <c r="AC39" s="7">
        <v>80.97</v>
      </c>
      <c r="AD39" t="inlineStr">
        <is>
          <t>強</t>
        </is>
      </c>
      <c r="AE39" s="7">
        <v>15.41</v>
      </c>
      <c r="AF39" s="7">
        <v>34.54</v>
      </c>
      <c r="AG39" t="inlineStr">
        <is>
          <t>同波動</t>
        </is>
      </c>
      <c r="AH39" s="8">
        <v>1619</v>
      </c>
      <c r="AI39" s="8">
        <v>161</v>
      </c>
      <c r="AJ39" s="7">
        <v>-0.93</v>
      </c>
      <c r="AK39" s="7">
        <v>-6.49</v>
      </c>
      <c r="AL39" s="7">
        <v>5.2</v>
      </c>
      <c r="AM39" s="7">
        <v>45.77</v>
      </c>
      <c r="AN39" t="inlineStr">
        <is>
          <t>≥55% 偏漲；≤45% 偏跌；其餘不確定</t>
        </is>
      </c>
      <c r="AO39" t="inlineStr">
        <is>
          <t>不確定</t>
        </is>
      </c>
      <c r="AP39" s="8">
        <v>646</v>
      </c>
      <c r="AQ39" s="7">
        <v>56.04</v>
      </c>
      <c r="AR39" s="7">
        <v>43.81</v>
      </c>
      <c r="AS39" s="7">
        <v>56.19</v>
      </c>
      <c r="AT39" s="7">
        <v>49.5</v>
      </c>
      <c r="AW39" t="inlineStr">
        <is>
          <t>VOL=中|TREND=空頭|MOM=強|VIXQ=1|SAMPLE=同波動|CALL=不確定</t>
        </is>
      </c>
      <c r="AX39" t="inlineStr">
        <is>
          <t>S0 資料OK → S1 波動:中(第56分位) → S2 趨勢:空頭 → S3 動能:強(第81分位) → S4 VIX:15.4(第35分位) → S5 同波動樣本 161 段 → S6 不確定(上漲機率46%)</t>
        </is>
      </c>
      <c r="AY39" t="inlineStr">
        <is>
          <t>過去天然氣（UNG）波動屬「中」時，10 個交易日（約2週）後的漲跌中位數 −0.9%，一半的情況落在 −6.5%～+5.2%，上漲機率 46%（約 161 段獨立樣本）。上漲機率介於 45%～55% 之間，不做方向判斷。走步回測（只算起始日前已到期的決策）方向命中 56%（646 次判定，每週決策的 10 日報酬互相重疊，等效約 323 次獨立判定）、永遠猜漲 44%、永遠猜跌 56%，和永遠猜跌一樣準，沒有比較準；預測區間實際涵蓋 50%（理想約 50%）。趨勢空頭、動能強、VIX 15（第 35 分位）只記錄、不參與預測（2008 年起的走步研究裡它們對漲跌沒有預測力）。</t>
        </is>
      </c>
    </row>
    <row r="40">
      <c r="A40" t="inlineStr">
        <is>
          <t>2026-W42-CPER-H10</t>
        </is>
      </c>
      <c r="B40" t="inlineStr">
        <is>
          <t>即時</t>
        </is>
      </c>
      <c r="C40" t="inlineStr">
        <is>
          <t>2026-10-12</t>
        </is>
      </c>
      <c r="D40" t="inlineStr">
        <is>
          <t>v2</t>
        </is>
      </c>
      <c r="E40" t="inlineStr">
        <is>
          <t>短線</t>
        </is>
      </c>
      <c r="F40" s="8">
        <v>10</v>
      </c>
      <c r="G40" t="inlineStr">
        <is>
          <t>2週</t>
        </is>
      </c>
      <c r="H40" t="inlineStr">
        <is>
          <t>銅</t>
        </is>
      </c>
      <c r="I40" t="inlineStr">
        <is>
          <t>CPER</t>
        </is>
      </c>
      <c r="J40" t="inlineStr">
        <is>
          <t>無</t>
        </is>
      </c>
      <c r="K40" t="inlineStr">
        <is>
          <t>2026-10-09</t>
        </is>
      </c>
      <c r="L40">
        <v>40.31</v>
      </c>
      <c r="M40">
        <v>40.31</v>
      </c>
      <c r="N40" t="inlineStr">
        <is>
          <t>2026-10-23</t>
        </is>
      </c>
      <c r="O40" t="inlineStr">
        <is>
          <t>https://finance.yahoo.com/quote/CPER/history</t>
        </is>
      </c>
      <c r="P40" s="8">
        <v>3746</v>
      </c>
      <c r="Q40" s="8">
        <v>3</v>
      </c>
      <c r="R40" t="inlineStr">
        <is>
          <t>通過</t>
        </is>
      </c>
      <c r="S40" s="7">
        <v>21.73</v>
      </c>
      <c r="T40" s="7">
        <v>17.37</v>
      </c>
      <c r="U40" s="7">
        <v>23.43</v>
      </c>
      <c r="V40" s="7">
        <v>58.4</v>
      </c>
      <c r="W40" t="inlineStr">
        <is>
          <t>中</t>
        </is>
      </c>
      <c r="X40">
        <v>39.9056</v>
      </c>
      <c r="Y40">
        <v>37.611</v>
      </c>
      <c r="Z40" s="7">
        <v>7.18</v>
      </c>
      <c r="AA40" t="inlineStr">
        <is>
          <t>多頭</t>
        </is>
      </c>
      <c r="AB40" s="7">
        <v>2.88</v>
      </c>
      <c r="AC40" s="7">
        <v>67.85</v>
      </c>
      <c r="AD40" t="inlineStr">
        <is>
          <t>強</t>
        </is>
      </c>
      <c r="AE40" s="7">
        <v>15.41</v>
      </c>
      <c r="AF40" s="7">
        <v>34.54</v>
      </c>
      <c r="AG40" t="inlineStr">
        <is>
          <t>同波動</t>
        </is>
      </c>
      <c r="AH40" s="8">
        <v>1241</v>
      </c>
      <c r="AI40" s="8">
        <v>124</v>
      </c>
      <c r="AJ40" s="7">
        <v>0.04</v>
      </c>
      <c r="AK40" s="7">
        <v>-2.54</v>
      </c>
      <c r="AL40" s="7">
        <v>2.8</v>
      </c>
      <c r="AM40" s="7">
        <v>50.2</v>
      </c>
      <c r="AN40" t="inlineStr">
        <is>
          <t>≥55% 偏漲；≤45% 偏跌；其餘不確定</t>
        </is>
      </c>
      <c r="AO40" t="inlineStr">
        <is>
          <t>不確定</t>
        </is>
      </c>
      <c r="AP40" s="8">
        <v>118</v>
      </c>
      <c r="AQ40" s="7">
        <v>40.68</v>
      </c>
      <c r="AR40" s="7">
        <v>56.78</v>
      </c>
      <c r="AS40" s="7">
        <v>56.78</v>
      </c>
      <c r="AT40" s="7">
        <v>48.59</v>
      </c>
      <c r="AW40" t="inlineStr">
        <is>
          <t>VOL=中|TREND=多頭|MOM=強|VIXQ=1|SAMPLE=同波動|CALL=不確定</t>
        </is>
      </c>
      <c r="AX40" t="inlineStr">
        <is>
          <t>S0 資料OK → S1 波動:中(第58分位) → S2 趨勢:多頭 → S3 動能:強(第68分位) → S4 VIX:15.4(第35分位) → S5 同波動樣本 124 段 → S6 不確定(上漲機率50%)</t>
        </is>
      </c>
      <c r="AY40" t="inlineStr">
        <is>
          <t>過去銅（CPER）波動屬「中」時，10 個交易日（約2週）後的漲跌中位數 0.0%，一半的情況落在 −2.5%～+2.8%，上漲機率 50%（約 124 段獨立樣本）。上漲機率介於 45%～55% 之間，不做方向判斷。走步回測（只算起始日前已到期的決策）方向命中 41%（118 次判定，每週決策的 10 日報酬互相重疊，等效約 59 次獨立判定）、永遠猜漲 57%、永遠猜跌 43%，還不如永遠猜漲（差 16 個百分點）；預測區間實際涵蓋 49%（理想約 50%）。趨勢多頭、動能強、VIX 15（第 35 分位）只記錄、不參與預測（2008 年起的走步研究裡它們對漲跌沒有預測力）。</t>
        </is>
      </c>
    </row>
    <row r="41">
      <c r="A41" t="inlineStr">
        <is>
          <t>2026-W42-SLV-H10</t>
        </is>
      </c>
      <c r="B41" t="inlineStr">
        <is>
          <t>即時</t>
        </is>
      </c>
      <c r="C41" t="inlineStr">
        <is>
          <t>2026-10-12</t>
        </is>
      </c>
      <c r="D41" t="inlineStr">
        <is>
          <t>v2</t>
        </is>
      </c>
      <c r="E41" t="inlineStr">
        <is>
          <t>短線</t>
        </is>
      </c>
      <c r="F41" s="8">
        <v>10</v>
      </c>
      <c r="G41" t="inlineStr">
        <is>
          <t>2週</t>
        </is>
      </c>
      <c r="H41" t="inlineStr">
        <is>
          <t>白銀</t>
        </is>
      </c>
      <c r="I41" t="inlineStr">
        <is>
          <t>SLV</t>
        </is>
      </c>
      <c r="J41" t="inlineStr">
        <is>
          <t>無</t>
        </is>
      </c>
      <c r="K41" t="inlineStr">
        <is>
          <t>2026-10-09</t>
        </is>
      </c>
      <c r="L41">
        <v>54.78</v>
      </c>
      <c r="M41">
        <v>54.78</v>
      </c>
      <c r="N41" t="inlineStr">
        <is>
          <t>2026-10-23</t>
        </is>
      </c>
      <c r="O41" t="inlineStr">
        <is>
          <t>https://finance.yahoo.com/quote/SLV/history</t>
        </is>
      </c>
      <c r="P41" s="8">
        <v>5145</v>
      </c>
      <c r="Q41" s="8">
        <v>3</v>
      </c>
      <c r="R41" t="inlineStr">
        <is>
          <t>通過</t>
        </is>
      </c>
      <c r="S41" s="7">
        <v>34.81</v>
      </c>
      <c r="T41" s="7">
        <v>21.63</v>
      </c>
      <c r="U41" s="7">
        <v>30.13</v>
      </c>
      <c r="V41" s="7">
        <v>77.07</v>
      </c>
      <c r="W41" t="inlineStr">
        <is>
          <t>高</t>
        </is>
      </c>
      <c r="X41">
        <v>57.9434</v>
      </c>
      <c r="Y41">
        <v>65.7736</v>
      </c>
      <c r="Z41" s="7">
        <v>-16.71</v>
      </c>
      <c r="AA41" t="inlineStr">
        <is>
          <t>空頭</t>
        </is>
      </c>
      <c r="AB41" s="7">
        <v>-5.75</v>
      </c>
      <c r="AC41" s="7">
        <v>20.31</v>
      </c>
      <c r="AD41" t="inlineStr">
        <is>
          <t>弱</t>
        </is>
      </c>
      <c r="AE41" s="7">
        <v>15.41</v>
      </c>
      <c r="AF41" s="7">
        <v>34.54</v>
      </c>
      <c r="AG41" t="inlineStr">
        <is>
          <t>同波動</t>
        </is>
      </c>
      <c r="AH41" s="8">
        <v>1699</v>
      </c>
      <c r="AI41" s="8">
        <v>169</v>
      </c>
      <c r="AJ41" s="7">
        <v>0.74</v>
      </c>
      <c r="AK41" s="7">
        <v>-3.66</v>
      </c>
      <c r="AL41" s="7">
        <v>6.02</v>
      </c>
      <c r="AM41" s="7">
        <v>54.74</v>
      </c>
      <c r="AN41" t="inlineStr">
        <is>
          <t>≥55% 偏漲；≤45% 偏跌；其餘不確定</t>
        </is>
      </c>
      <c r="AO41" t="inlineStr">
        <is>
          <t>不確定</t>
        </is>
      </c>
      <c r="AP41" s="8">
        <v>371</v>
      </c>
      <c r="AQ41" s="7">
        <v>49.33</v>
      </c>
      <c r="AR41" s="7">
        <v>51.75</v>
      </c>
      <c r="AS41" s="7">
        <v>51.75</v>
      </c>
      <c r="AT41" s="7">
        <v>53.5</v>
      </c>
      <c r="AW41" t="inlineStr">
        <is>
          <t>VOL=高|TREND=空頭|MOM=弱|VIXQ=1|SAMPLE=同波動|CALL=不確定</t>
        </is>
      </c>
      <c r="AX41" t="inlineStr">
        <is>
          <t>S0 資料OK → S1 波動:高(第77分位) → S2 趨勢:空頭 → S3 動能:弱(第20分位) → S4 VIX:15.4(第35分位) → S5 同波動樣本 169 段 → S6 不確定(上漲機率54.7%)</t>
        </is>
      </c>
      <c r="AY41" t="inlineStr">
        <is>
          <t>過去白銀（SLV）波動屬「高」時，10 個交易日（約2週）後的漲跌中位數 +0.7%，一半的情況落在 −3.7%～+6.0%，上漲機率 54.7%（約 169 段獨立樣本）。上漲機率介於 45%～55% 之間，不做方向判斷。走步回測（只算起始日前已到期的決策）方向命中 49%（371 次判定，每週決策的 10 日報酬互相重疊，等效約 186 次獨立判定）、永遠猜漲 52%、永遠猜跌 48%，還不如永遠猜漲（差 2 個百分點）；預測區間實際涵蓋 54%（理想約 50%）。趨勢空頭、動能弱、VIX 15（第 35 分位）只記錄、不參與預測（2008 年起的走步研究裡它們對漲跌沒有預測力）。</t>
        </is>
      </c>
    </row>
    <row r="42">
      <c r="A42" t="inlineStr">
        <is>
          <t>2026-W42-PPLT-H10</t>
        </is>
      </c>
      <c r="B42" t="inlineStr">
        <is>
          <t>即時</t>
        </is>
      </c>
      <c r="C42" t="inlineStr">
        <is>
          <t>2026-10-12</t>
        </is>
      </c>
      <c r="D42" t="inlineStr">
        <is>
          <t>v2</t>
        </is>
      </c>
      <c r="E42" t="inlineStr">
        <is>
          <t>短線</t>
        </is>
      </c>
      <c r="F42" s="8">
        <v>10</v>
      </c>
      <c r="G42" t="inlineStr">
        <is>
          <t>2週</t>
        </is>
      </c>
      <c r="H42" t="inlineStr">
        <is>
          <t>白金</t>
        </is>
      </c>
      <c r="I42" t="inlineStr">
        <is>
          <t>PPLT</t>
        </is>
      </c>
      <c r="J42" t="inlineStr">
        <is>
          <t>無</t>
        </is>
      </c>
      <c r="K42" t="inlineStr">
        <is>
          <t>2026-10-09</t>
        </is>
      </c>
      <c r="L42">
        <v>15.25</v>
      </c>
      <c r="M42">
        <v>15.25</v>
      </c>
      <c r="N42" t="inlineStr">
        <is>
          <t>2026-10-23</t>
        </is>
      </c>
      <c r="O42" t="inlineStr">
        <is>
          <t>https://finance.yahoo.com/quote/PPLT/history</t>
        </is>
      </c>
      <c r="P42" s="8">
        <v>4214</v>
      </c>
      <c r="Q42" s="8">
        <v>3</v>
      </c>
      <c r="R42" t="inlineStr">
        <is>
          <t>通過</t>
        </is>
      </c>
      <c r="S42" s="7">
        <v>31.41</v>
      </c>
      <c r="T42" s="7">
        <v>17.55</v>
      </c>
      <c r="U42" s="7">
        <v>24.45</v>
      </c>
      <c r="V42" s="7">
        <v>86.67</v>
      </c>
      <c r="W42" t="inlineStr">
        <is>
          <t>高</t>
        </is>
      </c>
      <c r="X42">
        <v>15.9712</v>
      </c>
      <c r="Y42">
        <v>17.6246</v>
      </c>
      <c r="Z42" s="7">
        <v>-13.47</v>
      </c>
      <c r="AA42" t="inlineStr">
        <is>
          <t>空頭</t>
        </is>
      </c>
      <c r="AB42" s="7">
        <v>-6.21</v>
      </c>
      <c r="AC42" s="7">
        <v>15.19</v>
      </c>
      <c r="AD42" t="inlineStr">
        <is>
          <t>弱</t>
        </is>
      </c>
      <c r="AE42" s="7">
        <v>15.41</v>
      </c>
      <c r="AF42" s="7">
        <v>34.54</v>
      </c>
      <c r="AG42" t="inlineStr">
        <is>
          <t>同波動</t>
        </is>
      </c>
      <c r="AH42" s="8">
        <v>1389</v>
      </c>
      <c r="AI42" s="8">
        <v>138</v>
      </c>
      <c r="AJ42" s="7">
        <v>0.83</v>
      </c>
      <c r="AK42" s="7">
        <v>-2.77</v>
      </c>
      <c r="AL42" s="7">
        <v>4.35</v>
      </c>
      <c r="AM42" s="7">
        <v>56.44</v>
      </c>
      <c r="AN42" t="inlineStr">
        <is>
          <t>≥55% 偏漲；≤45% 偏跌；其餘不確定</t>
        </is>
      </c>
      <c r="AO42" t="inlineStr">
        <is>
          <t>偏漲</t>
        </is>
      </c>
      <c r="AP42" s="8">
        <v>114</v>
      </c>
      <c r="AQ42" s="7">
        <v>46.49</v>
      </c>
      <c r="AR42" s="7">
        <v>52.63</v>
      </c>
      <c r="AS42" s="7">
        <v>52.63</v>
      </c>
      <c r="AT42" s="7">
        <v>48.42</v>
      </c>
      <c r="AW42" t="inlineStr">
        <is>
          <t>VOL=高|TREND=空頭|MOM=弱|VIXQ=1|SAMPLE=同波動|CALL=偏漲</t>
        </is>
      </c>
      <c r="AX42" t="inlineStr">
        <is>
          <t>S0 資料OK → S1 波動:高(第87分位) → S2 趨勢:空頭 → S3 動能:弱(第15分位) → S4 VIX:15.4(第35分位) → S5 同波動樣本 138 段 → S6 偏漲(上漲機率56%)</t>
        </is>
      </c>
      <c r="AY42" t="inlineStr">
        <is>
          <t>過去白金（PPLT）波動屬「高」時，10 個交易日（約2週）後的漲跌中位數 +0.8%，一半的情況落在 −2.8%～+4.3%，上漲機率 56%（約 138 段獨立樣本）。判定偏漲，主要反映長期上漲傾向，不是當下訊號。走步回測（只算起始日前已到期的決策）方向命中 46%（114 次判定，每週決策的 10 日報酬互相重疊，等效約 57 次獨立判定）、永遠猜漲 53%、永遠猜跌 47%，還不如永遠猜漲（差 6 個百分點）；預測區間實際涵蓋 48%（理想約 50%）。趨勢空頭、動能弱、VIX 15（第 35 分位）只記錄、不參與預測（2008 年起的走步研究裡它們對漲跌沒有預測力）。</t>
        </is>
      </c>
    </row>
    <row r="43">
      <c r="A43" t="inlineStr">
        <is>
          <t>2026-W42-DBA-H10</t>
        </is>
      </c>
      <c r="B43" t="inlineStr">
        <is>
          <t>即時</t>
        </is>
      </c>
      <c r="C43" t="inlineStr">
        <is>
          <t>2026-10-12</t>
        </is>
      </c>
      <c r="D43" t="inlineStr">
        <is>
          <t>v2</t>
        </is>
      </c>
      <c r="E43" t="inlineStr">
        <is>
          <t>短線</t>
        </is>
      </c>
      <c r="F43" s="8">
        <v>10</v>
      </c>
      <c r="G43" t="inlineStr">
        <is>
          <t>2週</t>
        </is>
      </c>
      <c r="H43" t="inlineStr">
        <is>
          <t>農產品</t>
        </is>
      </c>
      <c r="I43" t="inlineStr">
        <is>
          <t>DBA</t>
        </is>
      </c>
      <c r="J43" t="inlineStr">
        <is>
          <t>無</t>
        </is>
      </c>
      <c r="K43" t="inlineStr">
        <is>
          <t>2026-10-09</t>
        </is>
      </c>
      <c r="L43">
        <v>28.33</v>
      </c>
      <c r="M43">
        <v>28.33</v>
      </c>
      <c r="N43" t="inlineStr">
        <is>
          <t>2026-10-23</t>
        </is>
      </c>
      <c r="O43" t="inlineStr">
        <is>
          <t>https://finance.yahoo.com/quote/DBA/history</t>
        </is>
      </c>
      <c r="P43" s="8">
        <v>4972</v>
      </c>
      <c r="Q43" s="8">
        <v>3</v>
      </c>
      <c r="R43" t="inlineStr">
        <is>
          <t>通過</t>
        </is>
      </c>
      <c r="S43" s="7">
        <v>12.41</v>
      </c>
      <c r="T43" s="7">
        <v>10.7</v>
      </c>
      <c r="U43" s="7">
        <v>14.44</v>
      </c>
      <c r="V43" s="7">
        <v>52.24</v>
      </c>
      <c r="W43" t="inlineStr">
        <is>
          <t>中</t>
        </is>
      </c>
      <c r="X43">
        <v>28.4114</v>
      </c>
      <c r="Y43">
        <v>27.2008</v>
      </c>
      <c r="Z43" s="7">
        <v>4.15</v>
      </c>
      <c r="AA43" t="inlineStr">
        <is>
          <t>多頭</t>
        </is>
      </c>
      <c r="AB43" s="7">
        <v>-2.07</v>
      </c>
      <c r="AC43" s="7">
        <v>26.74</v>
      </c>
      <c r="AD43" t="inlineStr">
        <is>
          <t>弱</t>
        </is>
      </c>
      <c r="AE43" s="7">
        <v>15.41</v>
      </c>
      <c r="AF43" s="7">
        <v>34.54</v>
      </c>
      <c r="AG43" t="inlineStr">
        <is>
          <t>同波動</t>
        </is>
      </c>
      <c r="AH43" s="8">
        <v>1645</v>
      </c>
      <c r="AI43" s="8">
        <v>164</v>
      </c>
      <c r="AJ43" s="7">
        <v>0.0</v>
      </c>
      <c r="AK43" s="7">
        <v>-1.69</v>
      </c>
      <c r="AL43" s="7">
        <v>1.69</v>
      </c>
      <c r="AM43" s="7">
        <v>49.97</v>
      </c>
      <c r="AN43" t="inlineStr">
        <is>
          <t>≥55% 偏漲；≤45% 偏跌；其餘不確定</t>
        </is>
      </c>
      <c r="AO43" t="inlineStr">
        <is>
          <t>不確定</t>
        </is>
      </c>
      <c r="AP43" s="8">
        <v>405</v>
      </c>
      <c r="AQ43" s="7">
        <v>51.36</v>
      </c>
      <c r="AR43" s="7">
        <v>46.91</v>
      </c>
      <c r="AS43" s="7">
        <v>53.09</v>
      </c>
      <c r="AT43" s="7">
        <v>48.54</v>
      </c>
      <c r="AW43" t="inlineStr">
        <is>
          <t>VOL=中|TREND=多頭|MOM=弱|VIXQ=1|SAMPLE=同波動|CALL=不確定</t>
        </is>
      </c>
      <c r="AX43" t="inlineStr">
        <is>
          <t>S0 資料OK → S1 波動:中(第52分位) → S2 趨勢:多頭 → S3 動能:弱(第27分位) → S4 VIX:15.4(第35分位) → S5 同波動樣本 164 段 → S6 不確定(上漲機率50%)</t>
        </is>
      </c>
      <c r="AY43" t="inlineStr">
        <is>
          <t>過去農產品（DBA）波動屬「中」時，10 個交易日（約2週）後的漲跌中位數 0.0%，一半的情況落在 −1.7%～+1.7%，上漲機率 50%（約 164 段獨立樣本）。上漲機率介於 45%～55% 之間，不做方向判斷。走步回測（只算起始日前已到期的決策）方向命中 51%（405 次判定，每週決策的 10 日報酬互相重疊，等效約 202 次獨立判定）、永遠猜漲 47%、永遠猜跌 53%，還不如永遠猜跌（差 2 個百分點）；預測區間實際涵蓋 49%（理想約 50%）。趨勢多頭、動能弱、VIX 15（第 35 分位）只記錄、不參與預測（2008 年起的走步研究裡它們對漲跌沒有預測力）。</t>
        </is>
      </c>
    </row>
    <row r="44">
      <c r="A44" t="inlineStr">
        <is>
          <t>2026-W42-MOS-H10</t>
        </is>
      </c>
      <c r="B44" t="inlineStr">
        <is>
          <t>即時</t>
        </is>
      </c>
      <c r="C44" t="inlineStr">
        <is>
          <t>2026-10-12</t>
        </is>
      </c>
      <c r="D44" t="inlineStr">
        <is>
          <t>v2</t>
        </is>
      </c>
      <c r="E44" t="inlineStr">
        <is>
          <t>短線</t>
        </is>
      </c>
      <c r="F44" s="8">
        <v>10</v>
      </c>
      <c r="G44" t="inlineStr">
        <is>
          <t>2週</t>
        </is>
      </c>
      <c r="H44" t="inlineStr">
        <is>
          <t>肥料股</t>
        </is>
      </c>
      <c r="I44" t="inlineStr">
        <is>
          <t>MOS</t>
        </is>
      </c>
      <c r="J44" t="inlineStr">
        <is>
          <t>CF／NTR／1722.TW</t>
        </is>
      </c>
      <c r="K44" t="inlineStr">
        <is>
          <t>2026-10-09</t>
        </is>
      </c>
      <c r="L44">
        <v>18.74</v>
      </c>
      <c r="M44">
        <v>18.74</v>
      </c>
      <c r="N44" t="inlineStr">
        <is>
          <t>2026-10-23</t>
        </is>
      </c>
      <c r="O44" t="inlineStr">
        <is>
          <t>https://finance.yahoo.com/quote/MOS/history</t>
        </is>
      </c>
      <c r="P44" s="8">
        <v>9261</v>
      </c>
      <c r="Q44" s="8">
        <v>3</v>
      </c>
      <c r="R44" t="inlineStr">
        <is>
          <t>通過</t>
        </is>
      </c>
      <c r="S44" s="7">
        <v>35.11</v>
      </c>
      <c r="T44" s="7">
        <v>28.91</v>
      </c>
      <c r="U44" s="7">
        <v>40.27</v>
      </c>
      <c r="V44" s="7">
        <v>51.53</v>
      </c>
      <c r="W44" t="inlineStr">
        <is>
          <t>中</t>
        </is>
      </c>
      <c r="X44">
        <v>23.1948</v>
      </c>
      <c r="Y44">
        <v>24.0264</v>
      </c>
      <c r="Z44" s="7">
        <v>-22.0</v>
      </c>
      <c r="AA44" t="inlineStr">
        <is>
          <t>空頭</t>
        </is>
      </c>
      <c r="AB44" s="7">
        <v>-25.61</v>
      </c>
      <c r="AC44" s="7">
        <v>1.01</v>
      </c>
      <c r="AD44" t="inlineStr">
        <is>
          <t>弱</t>
        </is>
      </c>
      <c r="AE44" s="7">
        <v>15.41</v>
      </c>
      <c r="AF44" s="7">
        <v>34.54</v>
      </c>
      <c r="AG44" t="inlineStr">
        <is>
          <t>同波動</t>
        </is>
      </c>
      <c r="AH44" s="8">
        <v>3070</v>
      </c>
      <c r="AI44" s="8">
        <v>307</v>
      </c>
      <c r="AJ44" s="7">
        <v>0.53</v>
      </c>
      <c r="AK44" s="7">
        <v>-4.86</v>
      </c>
      <c r="AL44" s="7">
        <v>5.3</v>
      </c>
      <c r="AM44" s="7">
        <v>52.44</v>
      </c>
      <c r="AN44" t="inlineStr">
        <is>
          <t>≥55% 偏漲；≤45% 偏跌；其餘不確定</t>
        </is>
      </c>
      <c r="AO44" t="inlineStr">
        <is>
          <t>不確定</t>
        </is>
      </c>
      <c r="AP44" s="8">
        <v>0</v>
      </c>
      <c r="AT44" s="7">
        <v>50.87</v>
      </c>
      <c r="AW44" t="inlineStr">
        <is>
          <t>VOL=中|TREND=空頭|MOM=弱|VIXQ=1|SAMPLE=同波動|CALL=不確定</t>
        </is>
      </c>
      <c r="AX44" t="inlineStr">
        <is>
          <t>S0 資料OK → S1 波動:中(第52分位) → S2 趨勢:空頭 → S3 動能:弱(第1分位) → S4 VIX:15.4(第35分位) → S5 同波動樣本 307 段 → S6 不確定(上漲機率52%)</t>
        </is>
      </c>
      <c r="AY44" t="inlineStr">
        <is>
          <t>過去肥料股（MOS）波動屬「中」時，10 個交易日（約2週）後的漲跌中位數 +0.5%，一半的情況落在 −4.9%～+5.3%，上漲機率 52%（約 307 段獨立樣本）。上漲機率介於 45%～55% 之間，不做方向判斷。走步回測（977 次決策）沒有方向判定可比；預測區間實際涵蓋 51%（理想約 50%）。趨勢空頭、動能弱、VIX 15（第 35 分位）只記錄、不參與預測（2008 年起的走步研究裡它們對漲跌沒有預測力）。</t>
        </is>
      </c>
    </row>
    <row r="45">
      <c r="A45" t="inlineStr">
        <is>
          <t>2026-W42-BRK-B-H10</t>
        </is>
      </c>
      <c r="B45" t="inlineStr">
        <is>
          <t>即時</t>
        </is>
      </c>
      <c r="C45" t="inlineStr">
        <is>
          <t>2026-10-12</t>
        </is>
      </c>
      <c r="D45" t="inlineStr">
        <is>
          <t>v2</t>
        </is>
      </c>
      <c r="E45" t="inlineStr">
        <is>
          <t>短線</t>
        </is>
      </c>
      <c r="F45" s="8">
        <v>10</v>
      </c>
      <c r="G45" t="inlineStr">
        <is>
          <t>2週</t>
        </is>
      </c>
      <c r="H45" t="inlineStr">
        <is>
          <t>波克夏</t>
        </is>
      </c>
      <c r="I45" t="inlineStr">
        <is>
          <t>BRK-B</t>
        </is>
      </c>
      <c r="J45" t="inlineStr">
        <is>
          <t>無</t>
        </is>
      </c>
      <c r="K45" t="inlineStr">
        <is>
          <t>2026-10-09</t>
        </is>
      </c>
      <c r="L45">
        <v>515.62</v>
      </c>
      <c r="M45">
        <v>515.62</v>
      </c>
      <c r="N45" t="inlineStr">
        <is>
          <t>2026-10-23</t>
        </is>
      </c>
      <c r="O45" t="inlineStr">
        <is>
          <t>https://finance.yahoo.com/quote/BRK-B/history</t>
        </is>
      </c>
      <c r="P45" s="8">
        <v>7654</v>
      </c>
      <c r="Q45" s="8">
        <v>3</v>
      </c>
      <c r="R45" t="inlineStr">
        <is>
          <t>通過</t>
        </is>
      </c>
      <c r="S45" s="7">
        <v>12.26</v>
      </c>
      <c r="T45" s="7">
        <v>12.9</v>
      </c>
      <c r="U45" s="7">
        <v>18.65</v>
      </c>
      <c r="V45" s="7">
        <v>27.12</v>
      </c>
      <c r="W45" t="inlineStr">
        <is>
          <t>低</t>
        </is>
      </c>
      <c r="X45">
        <v>507.7682</v>
      </c>
      <c r="Y45">
        <v>492.9699</v>
      </c>
      <c r="Z45" s="7">
        <v>4.59</v>
      </c>
      <c r="AA45" t="inlineStr">
        <is>
          <t>多頭</t>
        </is>
      </c>
      <c r="AB45" s="7">
        <v>1.03</v>
      </c>
      <c r="AC45" s="7">
        <v>52.17</v>
      </c>
      <c r="AD45" t="inlineStr">
        <is>
          <t>中</t>
        </is>
      </c>
      <c r="AE45" s="7">
        <v>15.41</v>
      </c>
      <c r="AF45" s="7">
        <v>34.54</v>
      </c>
      <c r="AG45" t="inlineStr">
        <is>
          <t>同波動</t>
        </is>
      </c>
      <c r="AH45" s="8">
        <v>2523</v>
      </c>
      <c r="AI45" s="8">
        <v>252</v>
      </c>
      <c r="AJ45" s="7">
        <v>0.36</v>
      </c>
      <c r="AK45" s="7">
        <v>-1.2</v>
      </c>
      <c r="AL45" s="7">
        <v>2.07</v>
      </c>
      <c r="AM45" s="7">
        <v>55.69</v>
      </c>
      <c r="AN45" t="inlineStr">
        <is>
          <t>≥55% 偏漲；≤45% 偏跌；其餘不確定</t>
        </is>
      </c>
      <c r="AO45" t="inlineStr">
        <is>
          <t>偏漲</t>
        </is>
      </c>
      <c r="AP45" s="8">
        <v>487</v>
      </c>
      <c r="AQ45" s="7">
        <v>51.75</v>
      </c>
      <c r="AR45" s="7">
        <v>51.75</v>
      </c>
      <c r="AS45" s="7">
        <v>51.75</v>
      </c>
      <c r="AT45" s="7">
        <v>50.15</v>
      </c>
      <c r="AW45" t="inlineStr">
        <is>
          <t>VOL=低|TREND=多頭|MOM=中|VIXQ=1|SAMPLE=同波動|CALL=偏漲</t>
        </is>
      </c>
      <c r="AX45" t="inlineStr">
        <is>
          <t>S0 資料OK → S1 波動:低(第27分位) → S2 趨勢:多頭 → S3 動能:中(第52分位) → S4 VIX:15.4(第35分位) → S5 同波動樣本 252 段 → S6 偏漲(上漲機率56%)</t>
        </is>
      </c>
      <c r="AY45" t="inlineStr">
        <is>
          <t>過去波克夏（BRK-B）波動屬「低」時，10 個交易日（約2週）後的漲跌中位數 +0.4%，一半的情況落在 −1.2%～+2.1%，上漲機率 56%（約 252 段獨立樣本）。判定偏漲，主要反映長期上漲傾向，不是當下訊號。走步回測（只算起始日前已到期的決策）方向命中 52%（487 次判定，每週決策的 10 日報酬互相重疊，等效約 244 次獨立判定）、永遠猜漲 52%、永遠猜跌 48%，和永遠猜漲一樣準，沒有比較準；預測區間實際涵蓋 50%（理想約 50%）。趨勢多頭、動能中、VIX 15（第 35 分位）只記錄、不參與預測（2008 年起的走步研究裡它們對漲跌沒有預測力）。</t>
        </is>
      </c>
    </row>
  </sheetData>
  <autoFilter ref="A1:AY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18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24" customWidth="1"/>
  </cols>
  <sheetData>
    <row r="1">
      <c r="A1" s="1" t="inlineStr">
        <is>
          <t>期間</t>
        </is>
      </c>
      <c r="B1" s="1" t="inlineStr">
        <is>
          <t>筆數</t>
        </is>
      </c>
      <c r="C1" s="1" t="inlineStr">
        <is>
          <t>已結算</t>
        </is>
      </c>
      <c r="D1" s="1" t="inlineStr">
        <is>
          <t>落在區間「是」比例%（目標約 50%）</t>
        </is>
      </c>
      <c r="E1" s="1" t="inlineStr">
        <is>
          <t>方向對</t>
        </is>
      </c>
      <c r="F1" s="1" t="inlineStr">
        <is>
          <t>方向錯</t>
        </is>
      </c>
      <c r="G1" s="1" t="inlineStr">
        <is>
          <t>方向不判</t>
        </is>
      </c>
      <c r="H1" s="1" t="inlineStr">
        <is>
          <t>判定數（對＋錯）</t>
        </is>
      </c>
      <c r="I1" s="1" t="inlineStr">
        <is>
          <t>方向命中率%</t>
        </is>
      </c>
      <c r="J1" s="1" t="inlineStr">
        <is>
          <t>永遠猜漲命中%</t>
        </is>
      </c>
      <c r="K1" s="1" t="inlineStr">
        <is>
          <t>多數方向基準%</t>
        </is>
      </c>
      <c r="L1" s="1" t="inlineStr">
        <is>
          <t>命中率減多數方向（百分點）</t>
        </is>
      </c>
      <c r="M1" s="1" t="inlineStr">
        <is>
          <t>平均預測誤差（百分點）</t>
        </is>
      </c>
      <c r="N1" s="1" t="inlineStr">
        <is>
          <t>平均絕對誤差（百分點）</t>
        </is>
      </c>
      <c r="O1" s="1" t="inlineStr">
        <is>
          <t>提醒</t>
        </is>
      </c>
    </row>
    <row r="2">
      <c r="A2" s="10" t="inlineStr">
        <is>
          <t>1週（5 交易日）</t>
        </is>
      </c>
      <c r="B2">
        <v>22</v>
      </c>
      <c r="C2">
        <v>21</v>
      </c>
      <c r="D2">
        <v>33.33</v>
      </c>
      <c r="E2" s="7">
        <v>1</v>
      </c>
      <c r="F2">
        <v>5</v>
      </c>
      <c r="G2">
        <v>15</v>
      </c>
      <c r="H2">
        <v>6</v>
      </c>
      <c r="I2" s="7">
        <v>16.67</v>
      </c>
      <c r="J2" s="7">
        <v>33.33</v>
      </c>
      <c r="K2" s="7">
        <v>66.67</v>
      </c>
      <c r="L2" s="7">
        <v>-50.0</v>
      </c>
      <c r="M2" s="7">
        <v>-1.42</v>
      </c>
      <c r="N2" s="7">
        <v>3.04</v>
      </c>
      <c r="O2" t="inlineStr">
        <is>
          <t>判定數 &lt; 30 勿過度解讀</t>
        </is>
      </c>
    </row>
    <row r="3">
      <c r="A3" s="10" t="inlineStr">
        <is>
          <t>2週（10 交易日）</t>
        </is>
      </c>
      <c r="B3">
        <v>22</v>
      </c>
      <c r="C3">
        <v>0</v>
      </c>
      <c r="E3" s="7">
        <v>0</v>
      </c>
      <c r="F3">
        <v>0</v>
      </c>
      <c r="G3">
        <v>0</v>
      </c>
      <c r="H3">
        <v>0</v>
      </c>
      <c r="O3" t="inlineStr">
        <is>
          <t>判定數 &lt; 30 勿過度解讀</t>
        </is>
      </c>
    </row>
    <row r="4">
      <c r="A4" s="10" t="inlineStr">
        <is>
          <t>合計</t>
        </is>
      </c>
      <c r="B4">
        <v>44</v>
      </c>
      <c r="C4">
        <v>21</v>
      </c>
      <c r="D4">
        <v>33.33</v>
      </c>
      <c r="E4" s="7">
        <v>1</v>
      </c>
      <c r="F4">
        <v>5</v>
      </c>
      <c r="G4">
        <v>15</v>
      </c>
      <c r="H4">
        <v>6</v>
      </c>
      <c r="I4" s="7">
        <v>16.67</v>
      </c>
      <c r="J4" s="7">
        <v>33.33</v>
      </c>
      <c r="K4" s="7">
        <v>66.67</v>
      </c>
      <c r="L4" s="7">
        <v>-50.0</v>
      </c>
      <c r="M4" s="7">
        <v>-1.42</v>
      </c>
      <c r="N4" s="7">
        <v>3.04</v>
      </c>
      <c r="O4" t="inlineStr">
        <is>
          <t>判定數 &lt; 30 勿過度解讀</t>
        </is>
      </c>
    </row>
    <row r="5"/>
    <row r="6">
      <c r="A6" s="10" t="inlineStr">
        <is>
          <t>說明</t>
        </is>
      </c>
    </row>
    <row r="7">
      <c r="A7" t="inlineStr">
        <is>
          <t>只算這一週建立的即時列；值由系統計算（不是公式），每天重新產生。</t>
        </is>
      </c>
    </row>
    <row r="8">
      <c r="A8" t="inlineStr">
        <is>
          <t>落在區間「是」比例＝已結算列中「是」的比例（區間為 p25～p75，目標約 50%）。</t>
        </is>
      </c>
    </row>
    <row r="9">
      <c r="A9" t="inlineStr">
        <is>
          <t>方向命中率＝對÷(對＋錯)，「不判」不算。永遠猜漲命中＝對／錯的列中實際漲跌 &gt; 0 的比例；多數方向基準＝max(永遠猜漲, 100−永遠猜漲)；命中率減多數方向 &gt; 0 才算贏過「永遠猜多數方向」。</t>
        </is>
      </c>
    </row>
    <row r="10">
      <c r="A10" t="inlineStr">
        <is>
          <t>平均預測誤差＝(實際漲跌% − 預測中位數) 的平均；平均絕對誤差＝其絕對值的平均（百分點）。判定數（對＋錯）&lt; 30 勿過度解讀。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6" customWidth="1"/>
    <col min="3" max="3" width="18" customWidth="1"/>
    <col min="4" max="4" width="70" customWidth="1"/>
    <col min="5" max="5" width="24" customWidth="1"/>
    <col min="6" max="6" width="16" customWidth="1"/>
    <col min="7" max="7" width="14" customWidth="1"/>
    <col min="8" max="8" width="50" customWidth="1"/>
    <col min="9" max="9" width="8" customWidth="1"/>
  </cols>
  <sheetData>
    <row r="1">
      <c r="A1" s="1" t="inlineStr">
        <is>
          <t>規則代碼</t>
        </is>
      </c>
      <c r="B1" s="1" t="inlineStr">
        <is>
          <t>步驟</t>
        </is>
      </c>
      <c r="C1" s="1" t="inlineStr">
        <is>
          <t>名稱</t>
        </is>
      </c>
      <c r="D1" s="1" t="inlineStr">
        <is>
          <t>定義</t>
        </is>
      </c>
      <c r="E1" s="1" t="inlineStr">
        <is>
          <t>門檻或參數</t>
        </is>
      </c>
      <c r="F1" s="1" t="inlineStr">
        <is>
          <t>是否參與預測</t>
        </is>
      </c>
      <c r="G1" s="1" t="inlineStr">
        <is>
          <t>輸出到哪一欄</t>
        </is>
      </c>
      <c r="H1" s="1" t="inlineStr">
        <is>
          <t>研究依據</t>
        </is>
      </c>
      <c r="I1" s="1" t="inlineStr">
        <is>
          <t>模型版本</t>
        </is>
      </c>
    </row>
    <row r="2">
      <c r="A2" t="inlineStr">
        <is>
          <t>S0-1</t>
        </is>
      </c>
      <c r="B2" t="inlineStr">
        <is>
          <t>S0</t>
        </is>
      </c>
      <c r="C2" t="inlineStr">
        <is>
          <t>歷史長度</t>
        </is>
      </c>
      <c r="D2" s="9" t="inlineStr">
        <is>
          <t>n＝到起始日（含）為止該代號的有效收盤筆數（交易日）；n ≥ 門檻才往下做，否則 R 欄＝跳過、不出預測</t>
        </is>
      </c>
      <c r="E2" t="inlineStr">
        <is>
          <t>n ≥ 1000（交易日）</t>
        </is>
      </c>
      <c r="F2" t="inlineStr">
        <is>
          <t>是（把關：不合格就不出預測）</t>
        </is>
      </c>
      <c r="G2" t="inlineStr">
        <is>
          <t>P、R</t>
        </is>
      </c>
      <c r="H2" s="9" t="inlineStr">
        <is>
          <t>設計值，不是研究結果：1000 個交易日約 4 年，讓波動三分位門檻與查表至少有 4 年資料可用</t>
        </is>
      </c>
      <c r="I2" t="inlineStr">
        <is>
          <t>v2</t>
        </is>
      </c>
    </row>
    <row r="3">
      <c r="A3" t="inlineStr">
        <is>
          <t>S0-2</t>
        </is>
      </c>
      <c r="B3" t="inlineStr">
        <is>
          <t>S0</t>
        </is>
      </c>
      <c r="C3" t="inlineStr">
        <is>
          <t>資料新鮮度</t>
        </is>
      </c>
      <c r="D3" s="9" t="inlineStr">
        <is>
          <t>Q 欄＝建立日期 − 起始日（日曆天）；起始日＝建立日（含）以前最後一筆收盤的日期；Q ≤ 門檻才往下做，否則跳過</t>
        </is>
      </c>
      <c r="E3" t="inlineStr">
        <is>
          <t>Q ≤ 7（日曆天）</t>
        </is>
      </c>
      <c r="F3" t="inlineStr">
        <is>
          <t>是（把關：不合格就不出預測）</t>
        </is>
      </c>
      <c r="G3" t="inlineStr">
        <is>
          <t>K、Q、R</t>
        </is>
      </c>
      <c r="H3" s="9" t="inlineStr">
        <is>
          <t>設計值：7 天涵蓋週末加連假，超過代表資料源停更</t>
        </is>
      </c>
      <c r="I3" t="inlineStr">
        <is>
          <t>v2</t>
        </is>
      </c>
    </row>
    <row r="4">
      <c r="A4" t="inlineStr">
        <is>
          <t>S1-1</t>
        </is>
      </c>
      <c r="B4" t="inlineStr">
        <is>
          <t>S1</t>
        </is>
      </c>
      <c r="C4" t="inlineStr">
        <is>
          <t>波動定義</t>
        </is>
      </c>
      <c r="D4" s="9" t="inlineStr">
        <is>
          <t>S 欄＝最近 20 筆還原收盤的日對數報酬（ln(今日收盤÷前日收盤)）的母體標準差（分母 20）×√252 ×100，四捨五入到 2 位（年化%）；之後的分群、分位、狀態一律用這個 2 位數</t>
        </is>
      </c>
      <c r="E4" t="inlineStr">
        <is>
          <t>窗口 20 日；年化係數 √252</t>
        </is>
      </c>
      <c r="F4" t="inlineStr">
        <is>
          <t>是（決定查哪個波動狀態的歷史樣本）</t>
        </is>
      </c>
      <c r="G4" t="inlineStr">
        <is>
          <t>S、V</t>
        </is>
      </c>
      <c r="H4" s="9" t="inlineStr">
        <is>
          <t>v1 研究（2008 起每週走步、22 資產、5／10／21 日）：同波動三分位的 p25–p75 區間實際落入率 48～52%，是唯一站得住的部分</t>
        </is>
      </c>
      <c r="I4" t="inlineStr">
        <is>
          <t>v2</t>
        </is>
      </c>
    </row>
    <row r="5">
      <c r="A5" t="inlineStr">
        <is>
          <t>S1-2</t>
        </is>
      </c>
      <c r="B5" t="inlineStr">
        <is>
          <t>S1</t>
        </is>
      </c>
      <c r="C5" t="inlineStr">
        <is>
          <t>三分位門檻</t>
        </is>
      </c>
      <c r="D5" s="9" t="inlineStr">
        <is>
          <t>T、U 欄＝到起始日（含）為止所有 S 值（從第 21 筆起）的 1/3 與 2/3 分位數（線性內插，numpy 預設），四捨五入到 2 位。W 欄：S&lt;T＝低；T≤S&lt;U＝中；S≥U＝高（都是欄位上的值）。V 欄＝這些 S 值中小於目前 S 的比例×100（0～100，2 位）</t>
        </is>
      </c>
      <c r="E5" t="inlineStr">
        <is>
          <t>分位 33.33%／66.67%</t>
        </is>
      </c>
      <c r="F5" t="inlineStr">
        <is>
          <t>是</t>
        </is>
      </c>
      <c r="G5" t="inlineStr">
        <is>
          <t>T、U、V、W</t>
        </is>
      </c>
      <c r="H5" s="9" t="inlineStr">
        <is>
          <t>v1 研究（2008 起每週走步、22 資產、5／10／21 日）：同波動三分位的 p25–p75 區間實際落入率 48～52%，是唯一站得住的部分</t>
        </is>
      </c>
      <c r="I5" t="inlineStr">
        <is>
          <t>v2</t>
        </is>
      </c>
    </row>
    <row r="6">
      <c r="A6" t="inlineStr">
        <is>
          <t>S2-1</t>
        </is>
      </c>
      <c r="B6" t="inlineStr">
        <is>
          <t>S2</t>
        </is>
      </c>
      <c r="C6" t="inlineStr">
        <is>
          <t>趨勢定義</t>
        </is>
      </c>
      <c r="D6" s="9" t="inlineStr">
        <is>
          <t>M 欄＝起始收盤（還原權息）；X 欄＝最近 50 筆還原收盤平均，Y 欄＝最近 200 筆平均（X、Y 取 4 位小數）；Z 欄＝(M÷Y−1)×100（2 位）。AA 欄：M&gt;Y 且 X&gt;Y＝多頭；M&lt;Y 且 X&lt;Y＝空頭；其餘＝盤整（用欄位上的值比較）</t>
        </is>
      </c>
      <c r="E6" t="inlineStr">
        <is>
          <t>均線 50 日、200 日</t>
        </is>
      </c>
      <c r="F6" t="inlineStr">
        <is>
          <t>否（只記錄）</t>
        </is>
      </c>
      <c r="G6" t="inlineStr">
        <is>
          <t>X、Y、Z、AA</t>
        </is>
      </c>
      <c r="H6" s="9" t="inlineStr">
        <is>
          <t>v1 研究（2008 起、22 資產）：趨勢／動能／離年線／短期反轉／VIX 對『比平常強或弱』的多空命中都約 50%，IC≈0，所以只記錄、不參與預測</t>
        </is>
      </c>
      <c r="I6" t="inlineStr">
        <is>
          <t>v2</t>
        </is>
      </c>
    </row>
    <row r="7">
      <c r="A7" t="inlineStr">
        <is>
          <t>S3-1</t>
        </is>
      </c>
      <c r="B7" t="inlineStr">
        <is>
          <t>S3</t>
        </is>
      </c>
      <c r="C7" t="inlineStr">
        <is>
          <t>動能定義</t>
        </is>
      </c>
      <c r="D7" s="9" t="inlineStr">
        <is>
          <t>AB 欄＝(今日還原收盤÷20 筆前還原收盤−1)×100（2 位）。AC 欄＝到起始日（含）為止所有 20 日報酬（從第 21 筆起）中小於今日值的比例×100（2 位）。AD 欄：AC&lt;33.33＝弱；AC&gt;66.67＝強；其餘＝中</t>
        </is>
      </c>
      <c r="E7" t="inlineStr">
        <is>
          <t>窗口 20 日；分位 33.33／66.67</t>
        </is>
      </c>
      <c r="F7" t="inlineStr">
        <is>
          <t>否（只記錄）</t>
        </is>
      </c>
      <c r="G7" t="inlineStr">
        <is>
          <t>AB、AC、AD</t>
        </is>
      </c>
      <c r="H7" s="9" t="inlineStr">
        <is>
          <t>v1 研究（2008 起、22 資產）：趨勢／動能／離年線／短期反轉／VIX 對『比平常強或弱』的多空命中都約 50%，IC≈0，所以只記錄、不參與預測</t>
        </is>
      </c>
      <c r="I7" t="inlineStr">
        <is>
          <t>v2</t>
        </is>
      </c>
    </row>
    <row r="8">
      <c r="A8" t="inlineStr">
        <is>
          <t>S4-1</t>
        </is>
      </c>
      <c r="B8" t="inlineStr">
        <is>
          <t>S4</t>
        </is>
      </c>
      <c r="C8" t="inlineStr">
        <is>
          <t>VIX 分位</t>
        </is>
      </c>
      <c r="D8" s="9" t="inlineStr">
        <is>
          <t>AE 欄＝起始日（含）以前最後一筆 ^VIX 收盤（超過 7 天前視為無資料，留空）。AF 欄＝1990 年起到該日為止的 VIX 收盤中小於 AE 的比例×100（2 位）。AW 欄裡的 VIXQ：AF&lt;33.33＝0；AF&gt;66.67＝2；其餘＝1；無資料＝NA</t>
        </is>
      </c>
      <c r="E8" t="inlineStr">
        <is>
          <t>分位 33.33／66.67</t>
        </is>
      </c>
      <c r="F8" t="inlineStr">
        <is>
          <t>否（只記錄）</t>
        </is>
      </c>
      <c r="G8" t="inlineStr">
        <is>
          <t>AE、AF、AW</t>
        </is>
      </c>
      <c r="H8" s="9" t="inlineStr">
        <is>
          <t>v1 研究（2008 起、22 資產）：趨勢／動能／離年線／短期反轉／VIX 對『比平常強或弱』的多空命中都約 50%，IC≈0，所以只記錄、不參與預測</t>
        </is>
      </c>
      <c r="I8" t="inlineStr">
        <is>
          <t>v2</t>
        </is>
      </c>
    </row>
    <row r="9">
      <c r="A9" t="inlineStr">
        <is>
          <t>S5-1</t>
        </is>
      </c>
      <c r="B9" t="inlineStr">
        <is>
          <t>S5</t>
        </is>
      </c>
      <c r="C9" t="inlineStr">
        <is>
          <t>不偷看規則</t>
        </is>
      </c>
      <c r="D9" s="9" t="inlineStr">
        <is>
          <t>S1～S6 與回測的每個數字只用起始日（含）以前的資料；查表樣本的到期日（樣本起點＋期間 F 個交易日）必須 ≤ 起始日；走步回測只算到期日 ≤ 起始日的決策；補登列再多一層：只用建立日前一天（週日）以前的資料</t>
        </is>
      </c>
      <c r="E9" t="inlineStr">
        <is>
          <t>樣本到期日 ≤ 起始日</t>
        </is>
      </c>
      <c r="F9" t="inlineStr">
        <is>
          <t>是（約束所有步驟）</t>
        </is>
      </c>
      <c r="G9" t="inlineStr">
        <is>
          <t>S～AT</t>
        </is>
      </c>
      <c r="H9" s="9" t="inlineStr">
        <is>
          <t>selftest：把起始日之後的資料截掉或換成亂數，六個期間的整列 A～AY 都必須逐字相同</t>
        </is>
      </c>
      <c r="I9" t="inlineStr">
        <is>
          <t>v2</t>
        </is>
      </c>
    </row>
    <row r="10">
      <c r="A10" t="inlineStr">
        <is>
          <t>S5-2</t>
        </is>
      </c>
      <c r="B10" t="inlineStr">
        <is>
          <t>S5</t>
        </is>
      </c>
      <c r="C10" t="inlineStr">
        <is>
          <t>同波動樣本</t>
        </is>
      </c>
      <c r="D10" s="9" t="inlineStr">
        <is>
          <t>樣本＝起始日以前每個起點 t（t＋F 的收盤在起始日或之前）中，t 當天的波動狀態（用同一組 T、U）等於目前波動狀態者；每個樣本取 F（期間）個交易日的還原價報酬 c[t+F]÷c[t]−1。AG 欄＝同波動；AH 欄＝樣本數（日）</t>
        </is>
      </c>
      <c r="E10" t="inlineStr">
        <is>
          <t>同一波動三分位</t>
        </is>
      </c>
      <c r="F10" t="inlineStr">
        <is>
          <t>是</t>
        </is>
      </c>
      <c r="G10" t="inlineStr">
        <is>
          <t>AG、AH、AI</t>
        </is>
      </c>
      <c r="H10" s="9" t="inlineStr">
        <is>
          <t>v1 研究（2008 起每週走步、22 資產、5／10／21 日）：同波動三分位的 p25–p75 區間實際落入率 48～52%，是唯一站得住的部分</t>
        </is>
      </c>
      <c r="I10" t="inlineStr">
        <is>
          <t>v2</t>
        </is>
      </c>
    </row>
    <row r="11">
      <c r="A11" t="inlineStr">
        <is>
          <t>S5-3</t>
        </is>
      </c>
      <c r="B11" t="inlineStr">
        <is>
          <t>S5</t>
        </is>
      </c>
      <c r="C11" t="inlineStr">
        <is>
          <t>樣本不足改用全部歷史</t>
        </is>
      </c>
      <c r="D11" s="9" t="inlineStr">
        <is>
          <t>AI 欄＝AH÷F（取整數，獨立段數）。同波動樣本的 AI&lt;門檻 → 改用全部歷史（所有起點，AG 欄＝全部歷史）；全部歷史的 AI 也&lt;門檻時照樣輸出，但判斷原因（AY）與網頁會註明可信度很低</t>
        </is>
      </c>
      <c r="E11" t="inlineStr">
        <is>
          <t>獨立段數 &lt; 15</t>
        </is>
      </c>
      <c r="F11" t="inlineStr">
        <is>
          <t>是</t>
        </is>
      </c>
      <c r="G11" t="inlineStr">
        <is>
          <t>AG、AH、AI、AY</t>
        </is>
      </c>
      <c r="H11" s="9" t="inlineStr">
        <is>
          <t>設計值（v1 沿用）：期間越長獨立段數越少，63／126／252 日常常只剩個位數段，區間與機率只能當粗略參考</t>
        </is>
      </c>
      <c r="I11" t="inlineStr">
        <is>
          <t>v2</t>
        </is>
      </c>
    </row>
    <row r="12">
      <c r="A12" t="inlineStr">
        <is>
          <t>S5-4</t>
        </is>
      </c>
      <c r="B12" t="inlineStr">
        <is>
          <t>S5</t>
        </is>
      </c>
      <c r="C12" t="inlineStr">
        <is>
          <t>預測值與區間</t>
        </is>
      </c>
      <c r="D12" s="9" t="inlineStr">
        <is>
          <t>AJ 欄＝樣本報酬的中位數；AK 欄＝p25；AL 欄＝p75（分位數用線性內插，numpy 預設）；AM 欄＝樣本中報酬&gt;0 的比例×100；都四捨五入到 2 位（單位 %）</t>
        </is>
      </c>
      <c r="E12" t="inlineStr">
        <is>
          <t>p25、p50、p75；報酬&gt;0</t>
        </is>
      </c>
      <c r="F12" t="inlineStr">
        <is>
          <t>是</t>
        </is>
      </c>
      <c r="G12" t="inlineStr">
        <is>
          <t>AJ、AK、AL、AM</t>
        </is>
      </c>
      <c r="H12" s="9" t="inlineStr">
        <is>
          <t>5／10／21 日：p25–p75 實際落入率 48～52%（v1 研究）。63／126／252 日是 v2 新增，2026-10-10 走步回測（22 資產、2008 起）合併落入率 63 日 51.0%、126 日 50.7%、252 日 50.0%，但這三個期間逐年落入率差可達三成以上（約 24%～69%）、個別資產可低到 32%——平均接近 50%，單一批次不一定；最新數字見 AT 欄與網頁回測合併成績</t>
        </is>
      </c>
      <c r="I12" t="inlineStr">
        <is>
          <t>v2</t>
        </is>
      </c>
    </row>
    <row r="13">
      <c r="A13" t="inlineStr">
        <is>
          <t>S6-1</t>
        </is>
      </c>
      <c r="B13" t="inlineStr">
        <is>
          <t>S6</t>
        </is>
      </c>
      <c r="C13" t="inlineStr">
        <is>
          <t>方向規則</t>
        </is>
      </c>
      <c r="D13" s="9" t="inlineStr">
        <is>
          <t>AO 欄：AM ≥ 上限 → 偏漲；AM ≤ 下限 → 偏跌；其餘 → 不確定（用欄位上的 2 位數比較）。AN 欄逐列寫出這條規則</t>
        </is>
      </c>
      <c r="E13" t="inlineStr">
        <is>
          <t>55／45（%）</t>
        </is>
      </c>
      <c r="F13" t="inlineStr">
        <is>
          <t>是</t>
        </is>
      </c>
      <c r="G13" t="inlineStr">
        <is>
          <t>AN、AO</t>
        </is>
      </c>
      <c r="H13" s="9" t="inlineStr">
        <is>
          <t>v1 研究：方向命中 55～57% 只是資產本來偏漲，永遠猜漲一樣準，所以偏漲主要反映長期傾向，不是當下訊號</t>
        </is>
      </c>
      <c r="I13" t="inlineStr">
        <is>
          <t>v2</t>
        </is>
      </c>
    </row>
    <row r="14">
      <c r="A14" t="inlineStr">
        <is>
          <t>S7-1</t>
        </is>
      </c>
      <c r="B14" t="inlineStr">
        <is>
          <t>S7</t>
        </is>
      </c>
      <c r="C14" t="inlineStr">
        <is>
          <t>走步回測（基準＝多數方向）</t>
        </is>
      </c>
      <c r="D14" s="9" t="inlineStr">
        <is>
          <t>2008-01-01 起，每個 ISO 週第一個交易日用同一套 S1～S6 做一次決策，到期後用實際報酬對答案；每一列只引用到期日 ≤ 起始日的決策。AP 欄＝偏漲／偏跌的決策數（AQ～AS 的分母）；AQ 欄＝方向命中率；AR 欄＝永遠猜漲（這些決策中實際&gt;0 的比例）；AS 欄＝多數方向＝max(AR, 100−AR)；AT 欄＝實際落在 p25～p75 的比例（分母＝所有決策，含不確定）。比較基準用 AS，不用 AR</t>
        </is>
      </c>
      <c r="E14" t="inlineStr">
        <is>
          <t>隨機誤差 ±1.96×√(0.25÷等效判定數)；等效判定數＝AP÷max(1, F÷5)</t>
        </is>
      </c>
      <c r="F14" t="inlineStr">
        <is>
          <t>否（只是參考，不改預測）</t>
        </is>
      </c>
      <c r="G14" t="inlineStr">
        <is>
          <t>AP～AT</t>
        </is>
      </c>
      <c r="H14" s="9" t="inlineStr">
        <is>
          <t>偏跌資產贏『永遠猜漲』太容易，所以基準用多數方向（v1 修正）；每週決策的 F 日報酬互相重疊，期間越長等效獨立次數越少（252 日約為 AP÷50）。2026-10-10 合併回測：方向命中都沒有超過多數方向（5 日 57.1% 對 57.5%，252 日 66.0% 對 71.7%）</t>
        </is>
      </c>
      <c r="I14" t="inlineStr">
        <is>
          <t>v2</t>
        </is>
      </c>
    </row>
    <row r="15">
      <c r="A15" t="inlineStr">
        <is>
          <t>B-1</t>
        </is>
      </c>
      <c r="B15" t="inlineStr">
        <is>
          <t>批次</t>
        </is>
      </c>
      <c r="C15" t="inlineStr">
        <is>
          <t>批次節奏（短中長線）</t>
        </is>
      </c>
      <c r="D15" s="9" t="inlineStr">
        <is>
          <t>每個 ISO 週（台北時間）第一次執行時建一批。5、10 日每週建；21、63 日只在該週週一落在當月 1～7 日的那一週建（每月一次）；126、252 日只在這種週且月份為 1、4、7、10 時建（每季一次）。同一週重跑不重複建（預測編號＝ISO 週-代號-H期間）</t>
        </is>
      </c>
      <c r="E15" t="inlineStr">
        <is>
          <t>期間 5、10、21、63、126、252（交易日）；週／月（週一 1～7 日）／季（月 1、4、7、10）</t>
        </is>
      </c>
      <c r="F15" t="inlineStr">
        <is>
          <t>否</t>
        </is>
      </c>
      <c r="G15" t="inlineStr">
        <is>
          <t>A、C、E、F、G</t>
        </is>
      </c>
      <c r="H15" s="9" t="inlineStr">
        <is>
          <t>設計：長期間的相鄰樣本高度重疊，所以長期間每月／每季才建一列，避免用重疊樣本灌水</t>
        </is>
      </c>
      <c r="I15" t="inlineStr">
        <is>
          <t>v2</t>
        </is>
      </c>
    </row>
    <row r="16">
      <c r="A16" t="inlineStr">
        <is>
          <t>B-2</t>
        </is>
      </c>
      <c r="B16" t="inlineStr">
        <is>
          <t>批次</t>
        </is>
      </c>
      <c r="C16" t="inlineStr">
        <is>
          <t>回測補登</t>
        </is>
      </c>
      <c r="D16" s="9" t="inlineStr">
        <is>
          <t>帳本第一次建立時，往回補登 12 週（5、10 日）、12 個月（21、63 日）、8 季（126、252 日）；用當時（建立日前一天）的資料、同一套流程；補登列只在 ledger.json 與網頁，不進 forecast.csv</t>
        </is>
      </c>
      <c r="E16" t="inlineStr">
        <is>
          <t>週 12、月 12、季 8</t>
        </is>
      </c>
      <c r="F16" t="inlineStr">
        <is>
          <t>否</t>
        </is>
      </c>
      <c r="G16" t="inlineStr">
        <is>
          <t>B（即時／回測補登）</t>
        </is>
      </c>
      <c r="H16" s="9" t="inlineStr">
        <is>
          <t>補登是事後用同一套程式補算，只防得了資料偷看，防不了設計偷看，不能當成當時公布過的預測</t>
        </is>
      </c>
      <c r="I16" t="inlineStr">
        <is>
          <t>v2</t>
        </is>
      </c>
    </row>
    <row r="17">
      <c r="A17" t="inlineStr">
        <is>
          <t>M-1</t>
        </is>
      </c>
      <c r="B17" t="inlineStr">
        <is>
          <t>M</t>
        </is>
      </c>
      <c r="C17" t="inlineStr">
        <is>
          <t>月度沙盤推演銜接</t>
        </is>
      </c>
      <c r="D17" s="9" t="inlineStr">
        <is>
          <t>只有 63／126／252 日的即時列：AU 欄＝月度沙盤推演 3／6／12 個月的期望超額（ens_cal 優先，沒有用 ens；以資產 id 對應，對不上留空）；AV 欄＝該月度模型的走步回測判定（ensemble 優先，沒有用 ridge）</t>
        </is>
      </c>
      <c r="E17" t="inlineStr">
        <is>
          <t>63→3 個月；126→6 個月；252→12 個月</t>
        </is>
      </c>
      <c r="F17" t="inlineStr">
        <is>
          <t>否（並排放，不併入預測）</t>
        </is>
      </c>
      <c r="G17" t="inlineStr">
        <is>
          <t>AU、AV</t>
        </is>
      </c>
      <c r="H17" s="9" t="inlineStr">
        <is>
          <t>月度模型是否有效看沙盤推演頁的回測判定；這裡只並排放，不當作本帳本的依據</t>
        </is>
      </c>
      <c r="I17" t="inlineStr">
        <is>
          <t>v2</t>
        </is>
      </c>
    </row>
    <row r="18">
      <c r="A18" t="inlineStr">
        <is>
          <t>E-1</t>
        </is>
      </c>
      <c r="B18" t="inlineStr">
        <is>
          <t>對答案</t>
        </is>
      </c>
      <c r="C18" t="inlineStr">
        <is>
          <t>系統到期自動填結果</t>
        </is>
      </c>
      <c r="D18" s="9" t="inlineStr">
        <is>
          <t>起始日之後第「期間」（預測帳本 F 欄）根收盤出現時，系統用同一份還原權息序列算實際漲跌%（含息）、是否落在 p25～p75、方向對錯，另記實際到期日、到期日的未還原收盤、期間內每股配息（除息日在起始日之後（不含）到實際到期日（含）之間的合計；配息資料缺則留空）、期間內分割、系統寫入日。結果寫在 ledger.json、網頁、forecast_results.csv（11 欄 A～K，列順序與列數和 forecast.csv 相同）與每週檔案 forecast_&lt;ISO週&gt;.xlsx 的「預測與結果」分頁；Google 試算表 v4 的「結果」分頁用 IMPORTDATA 讀 forecast_results.csv，「填寫」分頁 J～P 自動帶入；forecast.csv 本身維持 51 欄、不放結果。人工改為選填抽查，見 V-1</t>
        </is>
      </c>
      <c r="E18" t="inlineStr">
        <is>
          <t>實際漲跌% = c[起始+F]÷c[起始]×100−100（c＝還原權息收盤）；預測誤差＝實際漲跌% − 預測中位數</t>
        </is>
      </c>
      <c r="F18" t="inlineStr">
        <is>
          <t>否</t>
        </is>
      </c>
      <c r="G18" t="inlineStr">
        <is>
          <t>結果!A～K；填寫!J～P；每週 xlsx「預測與結果」</t>
        </is>
      </c>
      <c r="H18" s="9" t="inlineStr">
        <is>
          <t>系統到期直接填結果，減少人工查價；實際漲跌用還原權息價，和網頁、回測同口徑，和「(到期收盤＋配息)÷起始收盤」可能差一點點</t>
        </is>
      </c>
      <c r="I18" t="inlineStr">
        <is>
          <t>v2</t>
        </is>
      </c>
    </row>
    <row r="19">
      <c r="A19" t="inlineStr">
        <is>
          <t>V-1</t>
        </is>
      </c>
      <c r="B19" t="inlineStr">
        <is>
          <t>驗證</t>
        </is>
      </c>
      <c r="C19" t="inlineStr">
        <is>
          <t>人工覆核（選填抽查）與試算表公式</t>
        </is>
      </c>
      <c r="D19" s="9" t="inlineStr">
        <is>
          <t>到期結果由系統自動填（E-1），人工改為選填抽查（填了就自動比對）。Google 試算表 v4 的分頁順序（8 個）：填寫（打開就是它）、需要注意、填寫範例、統計、預測帳本、結果、判斷條件、欄位說明；預測帳本、結果、判斷條件、欄位說明四個分頁用 IMPORTDATA 讀公開 CSV（forecast.csv、forecast_results.csv、forecast_rules.csv、forecast_columns.csv）。『填寫』分頁 A～AC 欄與『預測帳本』『結果』分頁同列號對齊：A～I 自動帶入（預測帳本），J～P 系統自動帶入（從『結果』分頁：J 實際到期日、K 到期收盤（未還原）、L 期間內每股配息、M 查價來源、N 驗證人、O 驗證日期、P 實際漲跌%（還原權息，含息）），Q～T 自動帶入預測（預測帳本的 AJ、AK、AL、AO 欄），U～W 自動計算，X～AC 人工選填抽查。H 欄狀態：A 空白→空白；T 是「跳過」→跳過；P 有值→已結算；今天 ≥ 預計到期日（G）＋1 天→待系統結算；否則→未到期。U 欄＝P 在 R～S 之間（含邊界）→ 是，否則 否（P、R、S 任一空白則空白）；V 欄＝T 偏漲且 P&gt;0 或 偏跌且 P&lt;0 → 對，偏漲且 P≤0 或 偏跌且 P≥0 → 錯，不確定／跳過 → 不判（P 空白則空白）；W 欄＝P−Q（百分點；P 或 Q 空白則空白）。人工覆核（選填）：到 I 欄的查價網址找實際到期日（J 欄）當天的未還原收盤，填在 X 欄（人工覆核收盤，≥ 0）；Y 欄覆核人、Z 欄覆核日期、AC 欄備註皆選填。AA 欄覆核差異%＝(X÷K−1)×100（X 或 K 空白則空白）；AB 欄覆核結果：X 空白→空白；K 空白→系統尚未結算；ROUND(ABS(AA),6) ≤ 0.5 → 一致，否則 不一致（先四捨五入到 6 位小數再比，避免剛好 ±0.5% 時的浮點誤差）。『需要注意』分頁自動列出已過預計到期日但系統還沒結算的（H 欄＝待系統結算）與人工覆核不一致的（AB 欄＝不一致）：填寫的列號、預測編號、資產、期間、預計到期日、狀態、覆核結果、查價網址；平常是空的就代表一切正常。每週檔案「預測與結果」分頁的「覆核結果（公式）」同口徑：人工覆核收盤空白→空白；到期收盤空白→系統尚未結算；ROUND(ABS(人工覆核收盤÷到期收盤−1)×100,6) ≤ 0.5 → 一致，否則 不一致。公式放每欄第 2 列，一格陣列公式，見 forecast_columns.csv；若 A 或 J 欄顯示 #REF!：到『預測帳本』A1 與『結果』A1 按允許存取</t>
        </is>
      </c>
      <c r="E19" t="inlineStr">
        <is>
          <t>覆核：ROUND(|X÷K−1|×100, 6) ≤ 0.5（%，即相差 0.5% 以內，含剛好 0.5%）為一致；X 用未還原到期收盤（到期日＝起始日之後第「期間」個交易日），K 是系統的未還原到期收盤</t>
        </is>
      </c>
      <c r="F19" t="inlineStr">
        <is>
          <t>否</t>
        </is>
      </c>
      <c r="G19" t="inlineStr">
        <is>
          <t>填寫!U、V、W、AA、AB</t>
        </is>
      </c>
      <c r="H19" s="9" t="inlineStr">
        <is>
          <t>人工抽查用來核對系統抓到的到期收盤（X 對 K，同為未還原價）；U／V／W 與系統對答案同一套判斷，輸入 P 直接來自系統結果（還原權息序列、含息），所以和『(到期收盤＋配息)÷起始收盤』可能差一點</t>
        </is>
      </c>
      <c r="I19" t="inlineStr">
        <is>
          <t>v2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" customWidth="1"/>
    <col min="2" max="2" width="26" customWidth="1"/>
    <col min="3" max="3" width="70" customWidth="1"/>
    <col min="4" max="4" width="22" customWidth="1"/>
    <col min="5" max="5" width="10" customWidth="1"/>
  </cols>
  <sheetData>
    <row r="1">
      <c r="A1" s="1" t="inlineStr">
        <is>
          <t>欄</t>
        </is>
      </c>
      <c r="B1" s="1" t="inlineStr">
        <is>
          <t>欄位名稱</t>
        </is>
      </c>
      <c r="C1" s="1" t="inlineStr">
        <is>
          <t>定義</t>
        </is>
      </c>
      <c r="D1" s="1" t="inlineStr">
        <is>
          <t>單位／格式</t>
        </is>
      </c>
      <c r="E1" s="1" t="inlineStr">
        <is>
          <t>誰填</t>
        </is>
      </c>
    </row>
    <row r="2">
      <c r="A2" t="inlineStr">
        <is>
          <t>A</t>
        </is>
      </c>
      <c r="B2" t="inlineStr">
        <is>
          <t>預測編號</t>
        </is>
      </c>
      <c r="C2" s="9" t="inlineStr">
        <is>
          <t>預測的唯一編號（ISO 週-代號-H期間）；和 forecast.csv、forecast_results.csv 的 A 欄相同</t>
        </is>
      </c>
      <c r="D2" t="inlineStr">
        <is>
          <t>文字</t>
        </is>
      </c>
      <c r="E2" t="inlineStr">
        <is>
          <t>系統</t>
        </is>
      </c>
    </row>
    <row r="3">
      <c r="A3" t="inlineStr">
        <is>
          <t>B</t>
        </is>
      </c>
      <c r="B3" t="inlineStr">
        <is>
          <t>資產</t>
        </is>
      </c>
      <c r="C3" s="9" t="inlineStr">
        <is>
          <t>資產名稱</t>
        </is>
      </c>
      <c r="D3" t="inlineStr">
        <is>
          <t>文字</t>
        </is>
      </c>
      <c r="E3" t="inlineStr">
        <is>
          <t>系統</t>
        </is>
      </c>
    </row>
    <row r="4">
      <c r="A4" t="inlineStr">
        <is>
          <t>C</t>
        </is>
      </c>
      <c r="B4" t="inlineStr">
        <is>
          <t>代號</t>
        </is>
      </c>
      <c r="C4" s="9" t="inlineStr">
        <is>
          <t>Yahoo Finance 代號，預測與查價都用這個</t>
        </is>
      </c>
      <c r="D4" t="inlineStr">
        <is>
          <t>文字</t>
        </is>
      </c>
      <c r="E4" t="inlineStr">
        <is>
          <t>系統</t>
        </is>
      </c>
    </row>
    <row r="5">
      <c r="A5" t="inlineStr">
        <is>
          <t>D</t>
        </is>
      </c>
      <c r="B5" t="inlineStr">
        <is>
          <t>台股可買</t>
        </is>
      </c>
      <c r="C5" s="9" t="inlineStr">
        <is>
          <t>台灣可買的對應標的；「無」或空白＝沒有對應</t>
        </is>
      </c>
      <c r="D5" t="inlineStr">
        <is>
          <t>文字</t>
        </is>
      </c>
      <c r="E5" t="inlineStr">
        <is>
          <t>系統</t>
        </is>
      </c>
    </row>
    <row r="6">
      <c r="A6" t="inlineStr">
        <is>
          <t>E</t>
        </is>
      </c>
      <c r="B6" t="inlineStr">
        <is>
          <t>期間</t>
        </is>
      </c>
      <c r="C6" s="9" t="inlineStr">
        <is>
          <t>約略期間＋交易日數，例 1週（5 交易日）；交易日是該標的自己的交易日</t>
        </is>
      </c>
      <c r="D6" t="inlineStr">
        <is>
          <t>文字</t>
        </is>
      </c>
      <c r="E6" t="inlineStr">
        <is>
          <t>系統</t>
        </is>
      </c>
    </row>
    <row r="7">
      <c r="A7" t="inlineStr">
        <is>
          <t>F</t>
        </is>
      </c>
      <c r="B7" t="inlineStr">
        <is>
          <t>期間層級</t>
        </is>
      </c>
      <c r="C7" s="9" t="inlineStr">
        <is>
          <t>短線＝5、10 日；中線＝21、63 日；長線＝126、252 日</t>
        </is>
      </c>
      <c r="D7" t="inlineStr">
        <is>
          <t>文字：短線／中線／長線</t>
        </is>
      </c>
      <c r="E7" t="inlineStr">
        <is>
          <t>系統</t>
        </is>
      </c>
    </row>
    <row r="8">
      <c r="A8" t="inlineStr">
        <is>
          <t>G</t>
        </is>
      </c>
      <c r="B8" t="inlineStr">
        <is>
          <t>起始日</t>
        </is>
      </c>
      <c r="C8" s="9" t="inlineStr">
        <is>
          <t>建立日（含）以前該標的最後一筆收盤的日期</t>
        </is>
      </c>
      <c r="D8" t="inlineStr">
        <is>
          <t>YYYY-MM-DD</t>
        </is>
      </c>
      <c r="E8" t="inlineStr">
        <is>
          <t>系統</t>
        </is>
      </c>
    </row>
    <row r="9">
      <c r="A9" t="inlineStr">
        <is>
          <t>H</t>
        </is>
      </c>
      <c r="B9" t="inlineStr">
        <is>
          <t>起始收盤（未還原）</t>
        </is>
      </c>
      <c r="C9" s="9" t="inlineStr">
        <is>
          <t>起始日的未還原收盤（只調整分割、不調整配息；查價網站看到的數字）</t>
        </is>
      </c>
      <c r="D9" t="inlineStr">
        <is>
          <t>價格，最多 4 位小數</t>
        </is>
      </c>
      <c r="E9" t="inlineStr">
        <is>
          <t>系統</t>
        </is>
      </c>
    </row>
    <row r="10">
      <c r="A10" t="inlineStr">
        <is>
          <t>I</t>
        </is>
      </c>
      <c r="B10" t="inlineStr">
        <is>
          <t>預計到期日</t>
        </is>
      </c>
      <c r="C10" s="9" t="inlineStr">
        <is>
          <t>估計值：起始日往後數「期間」個工作日（週一～週五），沒扣休市；實際到期日見 P 欄</t>
        </is>
      </c>
      <c r="D10" t="inlineStr">
        <is>
          <t>YYYY-MM-DD</t>
        </is>
      </c>
      <c r="E10" t="inlineStr">
        <is>
          <t>系統</t>
        </is>
      </c>
    </row>
    <row r="11">
      <c r="A11" t="inlineStr">
        <is>
          <t>J</t>
        </is>
      </c>
      <c r="B11" t="inlineStr">
        <is>
          <t>預測漲跌%（中位數）</t>
        </is>
      </c>
      <c r="C11" s="9" t="inlineStr">
        <is>
          <t>同一波動狀態下，歷史上同樣天數報酬的中位數</t>
        </is>
      </c>
      <c r="D11" t="inlineStr">
        <is>
          <t>%，2 位小數</t>
        </is>
      </c>
      <c r="E11" t="inlineStr">
        <is>
          <t>系統</t>
        </is>
      </c>
    </row>
    <row r="12">
      <c r="A12" t="inlineStr">
        <is>
          <t>K</t>
        </is>
      </c>
      <c r="B12" t="inlineStr">
        <is>
          <t>區間下緣%（p25）</t>
        </is>
      </c>
      <c r="C12" s="9" t="inlineStr">
        <is>
          <t>同上樣本報酬的第 25 百分位</t>
        </is>
      </c>
      <c r="D12" t="inlineStr">
        <is>
          <t>%，2 位小數</t>
        </is>
      </c>
      <c r="E12" t="inlineStr">
        <is>
          <t>系統</t>
        </is>
      </c>
    </row>
    <row r="13">
      <c r="A13" t="inlineStr">
        <is>
          <t>L</t>
        </is>
      </c>
      <c r="B13" t="inlineStr">
        <is>
          <t>區間上緣%（p75）</t>
        </is>
      </c>
      <c r="C13" s="9" t="inlineStr">
        <is>
          <t>同上樣本報酬的第 75 百分位</t>
        </is>
      </c>
      <c r="D13" t="inlineStr">
        <is>
          <t>%，2 位小數</t>
        </is>
      </c>
      <c r="E13" t="inlineStr">
        <is>
          <t>系統</t>
        </is>
      </c>
    </row>
    <row r="14">
      <c r="A14" t="inlineStr">
        <is>
          <t>M</t>
        </is>
      </c>
      <c r="B14" t="inlineStr">
        <is>
          <t>歷史上漲機率%</t>
        </is>
      </c>
      <c r="C14" s="9" t="inlineStr">
        <is>
          <t>同上樣本中報酬 &gt; 0 的比例</t>
        </is>
      </c>
      <c r="D14" t="inlineStr">
        <is>
          <t>%，2 位小數</t>
        </is>
      </c>
      <c r="E14" t="inlineStr">
        <is>
          <t>系統</t>
        </is>
      </c>
    </row>
    <row r="15">
      <c r="A15" t="inlineStr">
        <is>
          <t>N</t>
        </is>
      </c>
      <c r="B15" t="inlineStr">
        <is>
          <t>方向判定</t>
        </is>
      </c>
      <c r="C15" s="9" t="inlineStr">
        <is>
          <t>歷史上漲機率 ≥ 55 → 偏漲；≤ 45 → 偏跌；其餘不確定；資料檢查未通過 → 跳過</t>
        </is>
      </c>
      <c r="D15" t="inlineStr">
        <is>
          <t>文字：偏漲／偏跌／不確定／跳過</t>
        </is>
      </c>
      <c r="E15" t="inlineStr">
        <is>
          <t>系統</t>
        </is>
      </c>
    </row>
    <row r="16">
      <c r="A16" t="inlineStr">
        <is>
          <t>O</t>
        </is>
      </c>
      <c r="B16" t="inlineStr">
        <is>
          <t>狀態</t>
        </is>
      </c>
      <c r="C16" s="9" t="inlineStr">
        <is>
          <t>已結算＝系統已填入到期結果；未到期＝起始日之後還沒有「期間」根收盤；跳過＝不出預測、不對答案</t>
        </is>
      </c>
      <c r="D16" t="inlineStr">
        <is>
          <t>文字：未到期／已結算／跳過</t>
        </is>
      </c>
      <c r="E16" t="inlineStr">
        <is>
          <t>系統</t>
        </is>
      </c>
    </row>
    <row r="17">
      <c r="A17" t="inlineStr">
        <is>
          <t>P</t>
        </is>
      </c>
      <c r="B17" t="inlineStr">
        <is>
          <t>實際到期日</t>
        </is>
      </c>
      <c r="C17" s="9" t="inlineStr">
        <is>
          <t>起始日之後第「期間」個交易日；系統到期時填</t>
        </is>
      </c>
      <c r="D17" t="inlineStr">
        <is>
          <t>YYYY-MM-DD</t>
        </is>
      </c>
      <c r="E17" t="inlineStr">
        <is>
          <t>系統</t>
        </is>
      </c>
    </row>
    <row r="18">
      <c r="A18" t="inlineStr">
        <is>
          <t>Q</t>
        </is>
      </c>
      <c r="B18" t="inlineStr">
        <is>
          <t>到期收盤（未還原）</t>
        </is>
      </c>
      <c r="C18" s="9" t="inlineStr">
        <is>
          <t>實際到期日的未還原收盤（Yahoo Finance 日線 Close）；資料缺時空白並在備註註明</t>
        </is>
      </c>
      <c r="D18" t="inlineStr">
        <is>
          <t>價格，最多 4 位小數</t>
        </is>
      </c>
      <c r="E18" t="inlineStr">
        <is>
          <t>系統</t>
        </is>
      </c>
    </row>
    <row r="19">
      <c r="A19" t="inlineStr">
        <is>
          <t>R</t>
        </is>
      </c>
      <c r="B19" t="inlineStr">
        <is>
          <t>期間內每股配息</t>
        </is>
      </c>
      <c r="C19" s="9" t="inlineStr">
        <is>
          <t>除息日在起始日之後（不含）到實際到期日（含）之間的每股配息合計；配息資料缺時空白並在備註註明</t>
        </is>
      </c>
      <c r="D19" t="inlineStr">
        <is>
          <t>價格（每股）</t>
        </is>
      </c>
      <c r="E19" t="inlineStr">
        <is>
          <t>系統</t>
        </is>
      </c>
    </row>
    <row r="20">
      <c r="A20" t="inlineStr">
        <is>
          <t>S</t>
        </is>
      </c>
      <c r="B20" t="inlineStr">
        <is>
          <t>實際漲跌%（還原權息，含息）</t>
        </is>
      </c>
      <c r="C20" s="9" t="inlineStr">
        <is>
          <t>同一份還原權息序列的 到期日收盤÷起始日收盤×100−100（含息，和網頁、回測同口徑）；和「(到期收盤＋配息)÷起始收盤」可能差一點點</t>
        </is>
      </c>
      <c r="D20" t="inlineStr">
        <is>
          <t>%，2 位小數</t>
        </is>
      </c>
      <c r="E20" t="inlineStr">
        <is>
          <t>系統</t>
        </is>
      </c>
    </row>
    <row r="21">
      <c r="A21" t="inlineStr">
        <is>
          <t>T</t>
        </is>
      </c>
      <c r="B21" t="inlineStr">
        <is>
          <t>落在區間</t>
        </is>
      </c>
      <c r="C21" s="9" t="inlineStr">
        <is>
          <t>S 欄在 K～L 欄之間（含邊界）→ 是，否則 否</t>
        </is>
      </c>
      <c r="D21" t="inlineStr">
        <is>
          <t>文字：是／否</t>
        </is>
      </c>
      <c r="E21" t="inlineStr">
        <is>
          <t>系統</t>
        </is>
      </c>
    </row>
    <row r="22">
      <c r="A22" t="inlineStr">
        <is>
          <t>U</t>
        </is>
      </c>
      <c r="B22" t="inlineStr">
        <is>
          <t>方向對錯</t>
        </is>
      </c>
      <c r="C22" s="9" t="inlineStr">
        <is>
          <t>偏漲且 S&gt;0 或偏跌且 S&lt;0 → 對；偏漲且 S≤0 或偏跌且 S≥0 → 錯；不確定 → 不判</t>
        </is>
      </c>
      <c r="D22" t="inlineStr">
        <is>
          <t>文字：對／錯／不判</t>
        </is>
      </c>
      <c r="E22" t="inlineStr">
        <is>
          <t>系統</t>
        </is>
      </c>
    </row>
    <row r="23">
      <c r="A23" t="inlineStr">
        <is>
          <t>V</t>
        </is>
      </c>
      <c r="B23" t="inlineStr">
        <is>
          <t>預測誤差（百分點）</t>
        </is>
      </c>
      <c r="C23" s="9" t="inlineStr">
        <is>
          <t>S − J（實際漲跌減預測中位數）</t>
        </is>
      </c>
      <c r="D23" t="inlineStr">
        <is>
          <t>百分點，2 位小數</t>
        </is>
      </c>
      <c r="E23" t="inlineStr">
        <is>
          <t>系統</t>
        </is>
      </c>
    </row>
    <row r="24">
      <c r="A24" t="inlineStr">
        <is>
          <t>W</t>
        </is>
      </c>
      <c r="B24" t="inlineStr">
        <is>
          <t>查價來源</t>
        </is>
      </c>
      <c r="C24" s="9" t="inlineStr">
        <is>
          <t>已結算＝「系統：Yahoo Finance 日線」；跳過的列寫「跳過，不對答案」</t>
        </is>
      </c>
      <c r="D24" t="inlineStr">
        <is>
          <t>文字</t>
        </is>
      </c>
      <c r="E24" t="inlineStr">
        <is>
          <t>系統</t>
        </is>
      </c>
    </row>
    <row r="25">
      <c r="A25" t="inlineStr">
        <is>
          <t>X</t>
        </is>
      </c>
      <c r="B25" t="inlineStr">
        <is>
          <t>驗證人</t>
        </is>
      </c>
      <c r="C25" s="9" t="inlineStr">
        <is>
          <t>已結算＝「系統」</t>
        </is>
      </c>
      <c r="D25" t="inlineStr">
        <is>
          <t>文字</t>
        </is>
      </c>
      <c r="E25" t="inlineStr">
        <is>
          <t>系統</t>
        </is>
      </c>
    </row>
    <row r="26">
      <c r="A26" t="inlineStr">
        <is>
          <t>Y</t>
        </is>
      </c>
      <c r="B26" t="inlineStr">
        <is>
          <t>驗證日期</t>
        </is>
      </c>
      <c r="C26" s="9" t="inlineStr">
        <is>
          <t>系統寫入到期結果的那天</t>
        </is>
      </c>
      <c r="D26" t="inlineStr">
        <is>
          <t>YYYY-MM-DD</t>
        </is>
      </c>
      <c r="E26" t="inlineStr">
        <is>
          <t>系統</t>
        </is>
      </c>
    </row>
    <row r="27">
      <c r="A27" t="inlineStr">
        <is>
          <t>Z</t>
        </is>
      </c>
      <c r="B27" t="inlineStr">
        <is>
          <t>人工覆核收盤（選填）</t>
        </is>
      </c>
      <c r="C27" s="9" t="inlineStr">
        <is>
          <t>選填抽查：自己查到的實際到期日未還原收盤；填了 AC 欄會自動和 Q 欄比對</t>
        </is>
      </c>
      <c r="D27" t="inlineStr">
        <is>
          <t>價格（未還原）</t>
        </is>
      </c>
      <c r="E27" t="inlineStr">
        <is>
          <t>人工選填</t>
        </is>
      </c>
    </row>
    <row r="28">
      <c r="A28" t="inlineStr">
        <is>
          <t>AA</t>
        </is>
      </c>
      <c r="B28" t="inlineStr">
        <is>
          <t>覆核人（選填）</t>
        </is>
      </c>
      <c r="C28" s="9" t="inlineStr">
        <is>
          <t>選填：覆核者姓名</t>
        </is>
      </c>
      <c r="D28" t="inlineStr">
        <is>
          <t>文字</t>
        </is>
      </c>
      <c r="E28" t="inlineStr">
        <is>
          <t>人工選填</t>
        </is>
      </c>
    </row>
    <row r="29">
      <c r="A29" t="inlineStr">
        <is>
          <t>AB</t>
        </is>
      </c>
      <c r="B29" t="inlineStr">
        <is>
          <t>覆核日期（選填）</t>
        </is>
      </c>
      <c r="C29" s="9" t="inlineStr">
        <is>
          <t>選填：覆核的日期</t>
        </is>
      </c>
      <c r="D29" t="inlineStr">
        <is>
          <t>YYYY-MM-DD</t>
        </is>
      </c>
      <c r="E29" t="inlineStr">
        <is>
          <t>人工選填</t>
        </is>
      </c>
    </row>
    <row r="30">
      <c r="A30" t="inlineStr">
        <is>
          <t>AC</t>
        </is>
      </c>
      <c r="B30" t="inlineStr">
        <is>
          <t>覆核結果（公式）</t>
        </is>
      </c>
      <c r="C30" s="9" t="inlineStr">
        <is>
          <t>Z 空白 → 空白；Q 空白 → 系統尚未結算；ROUND(ABS(Z÷Q−1)×100,6) ≤ 0.5 → 一致，否則 不一致（先四捨五入到 6 位小數再比，剛好相差 0.5% 也算一致，不受浮點誤差影響；和 Google 試算表 AB 欄同口徑）</t>
        </is>
      </c>
      <c r="D30" t="inlineStr">
        <is>
          <t>文字：一致／不一致／系統尚未結算</t>
        </is>
      </c>
      <c r="E30" t="inlineStr">
        <is>
          <t>公式</t>
        </is>
      </c>
    </row>
    <row r="31">
      <c r="A31" t="inlineStr">
        <is>
          <t>AD</t>
        </is>
      </c>
      <c r="B31" t="inlineStr">
        <is>
          <t>備註</t>
        </is>
      </c>
      <c r="C31" s="9" t="inlineStr">
        <is>
          <t>系統自動寫：期間內有分割、配息資料缺、到期收盤資料缺、預計到期日已過仍未結算（資料延遲）、跳過原因；沒有就空白</t>
        </is>
      </c>
      <c r="D31" t="inlineStr">
        <is>
          <t>文字</t>
        </is>
      </c>
      <c r="E31" t="inlineStr">
        <is>
          <t>系統</t>
        </is>
      </c>
    </row>
    <row r="32">
      <c r="A32" t="inlineStr">
        <is>
          <t>AE</t>
        </is>
      </c>
      <c r="B32" t="inlineStr">
        <is>
          <t>判斷原因</t>
        </is>
      </c>
      <c r="C32" s="9" t="inlineStr">
        <is>
          <t>白話的判斷原因（和 forecast.csv 的判斷原因欄相同）</t>
        </is>
      </c>
      <c r="D32" t="inlineStr">
        <is>
          <t>文字</t>
        </is>
      </c>
      <c r="E32" t="inlineStr">
        <is>
          <t>系統</t>
        </is>
      </c>
    </row>
    <row r="33">
      <c r="A33" t="inlineStr">
        <is>
          <t>AF</t>
        </is>
      </c>
      <c r="B33" t="inlineStr">
        <is>
          <t>查價網址</t>
        </is>
      </c>
      <c r="C33" s="9" t="inlineStr">
        <is>
          <t>Yahoo Finance 該代號的歷史價格頁</t>
        </is>
      </c>
      <c r="D33" t="inlineStr">
        <is>
          <t>網址</t>
        </is>
      </c>
      <c r="E33" t="inlineStr">
        <is>
          <t>系統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20" customWidth="1"/>
  </cols>
  <sheetData>
    <row r="1">
      <c r="A1" s="10" t="inlineStr">
        <is>
          <t>預測帳本 2026-W42：預測與到期結果</t>
        </is>
      </c>
    </row>
    <row r="2">
      <c r="A2" t="inlineStr">
        <is>
          <t>這份檔案是 2026-W42 建立的即時預測（44 筆，目前已結算 21 筆），系統每天自動重新產生；預測到期後，系統自動填入實際結果。</t>
        </is>
      </c>
    </row>
    <row r="3">
      <c r="A3" t="inlineStr">
        <is>
          <t>到期＝起始日之後第「期間」個交易日（該標的自己的交易日）的收盤。「預計到期日」是估計值、沒扣休市，實際到期日可能晚幾天。</t>
        </is>
      </c>
    </row>
    <row r="4">
      <c r="A4" t="inlineStr">
        <is>
          <t>系統結果的資料來源是 Yahoo Finance 日線。實際漲跌% 用還原權息價（含息），和網頁、回測同口徑，所以和「(到期收盤＋期間內每股配息)÷起始收盤−1」可能差一點點。</t>
        </is>
      </c>
    </row>
    <row r="5">
      <c r="A5" t="inlineStr">
        <is>
          <t>人工只需選填抽查：在「人工覆核收盤（選填）」填自己查到的實際到期日未還原收盤（可一併填覆核人、覆核日期），「覆核結果」會自動比對：和系統的到期收盤相差在 ±0.5% 內（含剛好 0.5%，比較前先四捨五入到 6 位小數）為「一致」，否則為「不一致」；系統還沒結算時顯示「系統尚未結算」。</t>
        </is>
      </c>
    </row>
    <row r="6">
      <c r="A6" t="inlineStr">
        <is>
          <t>淺灰底＝系統填的值；淺黃底＝人工選填；覆核結果是公式。檔案每天重新產生，人工填的內容請另存一份，或填在 Google 試算表。</t>
        </is>
      </c>
    </row>
    <row r="7">
      <c r="A7" t="inlineStr">
        <is>
          <t>分頁：預測與結果（每列一筆）、判斷條件明細（和 forecast.csv 同 51 欄）、本週統計、判斷條件規則、欄位說明、說明。</t>
        </is>
      </c>
    </row>
    <row r="8">
      <c r="A8" t="inlineStr">
        <is>
          <t>預測欄位寫入後不再修改；同一份系統結果也在 forecast_results.csv（列順序與 forecast.csv 相同）。全部是歷史統計，不是投資建議。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Y9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24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3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3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38" max="38" width="30" customWidth="1"/>
    <col min="39" max="39" width="10" customWidth="1"/>
    <col min="40" max="40" width="10" customWidth="1"/>
    <col min="41" max="41" width="10" customWidth="1"/>
    <col min="42" max="42" width="10" customWidth="1"/>
    <col min="43" max="43" width="10" customWidth="1"/>
    <col min="44" max="44" width="10" customWidth="1"/>
    <col min="45" max="45" width="10" customWidth="1"/>
    <col min="46" max="46" width="10" customWidth="1"/>
    <col min="47" max="47" width="10" customWidth="1"/>
    <col min="48" max="48" width="10" customWidth="1"/>
    <col min="49" max="49" width="10" customWidth="1"/>
    <col min="50" max="50" width="10" customWidth="1"/>
    <col min="51" max="51" width="10" customWidth="1"/>
    <col min="52" max="52" width="10" customWidth="1"/>
    <col min="53" max="53" width="10" customWidth="1"/>
    <col min="54" max="54" width="10" customWidth="1"/>
    <col min="55" max="55" width="10" customWidth="1"/>
    <col min="56" max="56" width="10" customWidth="1"/>
    <col min="57" max="57" width="10" customWidth="1"/>
    <col min="58" max="58" width="10" customWidth="1"/>
    <col min="59" max="59" width="60" customWidth="1"/>
    <col min="60" max="60" width="10" customWidth="1"/>
    <col min="61" max="61" width="10" customWidth="1"/>
    <col min="62" max="62" width="10" customWidth="1"/>
    <col min="63" max="63" width="10" customWidth="1"/>
    <col min="64" max="64" width="10" customWidth="1"/>
    <col min="65" max="65" width="1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10" customWidth="1"/>
    <col min="73" max="73" width="10" customWidth="1"/>
    <col min="74" max="74" width="10" customWidth="1"/>
    <col min="75" max="75" width="10" customWidth="1"/>
    <col min="76" max="76" width="60" customWidth="1"/>
    <col min="77" max="77" width="10" customWidth="1"/>
  </cols>
  <sheetData>
    <row r="1">
      <c r="A1" s="1" t="inlineStr">
        <is>
          <t>推演編號</t>
        </is>
      </c>
      <c r="B1" s="1" t="inlineStr">
        <is>
          <t>批次</t>
        </is>
      </c>
      <c r="C1" s="1" t="inlineStr">
        <is>
          <t>建立日期</t>
        </is>
      </c>
      <c r="D1" s="1" t="inlineStr">
        <is>
          <t>資料月份</t>
        </is>
      </c>
      <c r="E1" s="1" t="inlineStr">
        <is>
          <t>起算月份</t>
        </is>
      </c>
      <c r="F1" s="1" t="inlineStr">
        <is>
          <t>期間（月）</t>
        </is>
      </c>
      <c r="G1" s="1" t="inlineStr">
        <is>
          <t>到期月份</t>
        </is>
      </c>
      <c r="H1" s="1" t="inlineStr">
        <is>
          <t>資產</t>
        </is>
      </c>
      <c r="I1" s="1" t="inlineStr">
        <is>
          <t>序列代號</t>
        </is>
      </c>
      <c r="J1" s="1" t="inlineStr">
        <is>
          <t>平常%</t>
        </is>
      </c>
      <c r="K1" s="1" t="inlineStr">
        <is>
          <t>σ_h%</t>
        </is>
      </c>
      <c r="L1" s="1" t="inlineStr">
        <is>
          <t>σ_h 樣本數</t>
        </is>
      </c>
      <c r="M1" s="1" t="inlineStr">
        <is>
          <t>持平帶%（±）</t>
        </is>
      </c>
      <c r="N1" s="1" t="inlineStr">
        <is>
          <t>總經面 預估%</t>
        </is>
      </c>
      <c r="O1" s="1" t="inlineStr">
        <is>
          <t>總經面 P漲%</t>
        </is>
      </c>
      <c r="P1" s="1" t="inlineStr">
        <is>
          <t>總經面 P持平%</t>
        </is>
      </c>
      <c r="Q1" s="1" t="inlineStr">
        <is>
          <t>總經面 P跌%</t>
        </is>
      </c>
      <c r="R1" s="1" t="inlineStr">
        <is>
          <t>總經面 判斷</t>
        </is>
      </c>
      <c r="S1" s="1" t="inlineStr">
        <is>
          <t>總經面 依據</t>
        </is>
      </c>
      <c r="T1" s="1" t="inlineStr">
        <is>
          <t>產業鏈面 機率減平常（百分點）</t>
        </is>
      </c>
      <c r="U1" s="1" t="inlineStr">
        <is>
          <t>產業鏈面 判斷</t>
        </is>
      </c>
      <c r="V1" s="1" t="inlineStr">
        <is>
          <t>產業鏈面 鏈</t>
        </is>
      </c>
      <c r="W1" s="1" t="inlineStr">
        <is>
          <t>產業鏈面 事件</t>
        </is>
      </c>
      <c r="X1" s="1" t="inlineStr">
        <is>
          <t>產業鏈面 觸發代碼</t>
        </is>
      </c>
      <c r="Y1" s="1" t="inlineStr">
        <is>
          <t>產業鏈面 機率%</t>
        </is>
      </c>
      <c r="Z1" s="1" t="inlineStr">
        <is>
          <t>產業鏈面 平常%</t>
        </is>
      </c>
      <c r="AA1" s="1" t="inlineStr">
        <is>
          <t>歷史類比面 預估%</t>
        </is>
      </c>
      <c r="AB1" s="1" t="inlineStr">
        <is>
          <t>歷史類比面 P漲%</t>
        </is>
      </c>
      <c r="AC1" s="1" t="inlineStr">
        <is>
          <t>歷史類比面 P持平%</t>
        </is>
      </c>
      <c r="AD1" s="1" t="inlineStr">
        <is>
          <t>歷史類比面 P跌%</t>
        </is>
      </c>
      <c r="AE1" s="1" t="inlineStr">
        <is>
          <t>歷史類比面 判斷</t>
        </is>
      </c>
      <c r="AF1" s="1" t="inlineStr">
        <is>
          <t>歷史類比面 依據</t>
        </is>
      </c>
      <c r="AG1" s="1" t="inlineStr">
        <is>
          <t>位階面 預估%</t>
        </is>
      </c>
      <c r="AH1" s="1" t="inlineStr">
        <is>
          <t>位階面 P漲%</t>
        </is>
      </c>
      <c r="AI1" s="1" t="inlineStr">
        <is>
          <t>位階面 P持平%</t>
        </is>
      </c>
      <c r="AJ1" s="1" t="inlineStr">
        <is>
          <t>位階面 P跌%</t>
        </is>
      </c>
      <c r="AK1" s="1" t="inlineStr">
        <is>
          <t>位階面 判斷</t>
        </is>
      </c>
      <c r="AL1" s="1" t="inlineStr">
        <is>
          <t>位階面 依據</t>
        </is>
      </c>
      <c r="AM1" s="1" t="inlineStr">
        <is>
          <t>綜合判斷</t>
        </is>
      </c>
      <c r="AN1" s="1" t="inlineStr">
        <is>
          <t>漲票數</t>
        </is>
      </c>
      <c r="AO1" s="1" t="inlineStr">
        <is>
          <t>持平票數</t>
        </is>
      </c>
      <c r="AP1" s="1" t="inlineStr">
        <is>
          <t>跌票數</t>
        </is>
      </c>
      <c r="AQ1" s="1" t="inlineStr">
        <is>
          <t>一致度</t>
        </is>
      </c>
      <c r="AR1" s="1" t="inlineStr">
        <is>
          <t>綜合機率 P漲%</t>
        </is>
      </c>
      <c r="AS1" s="1" t="inlineStr">
        <is>
          <t>綜合機率 P持平%</t>
        </is>
      </c>
      <c r="AT1" s="1" t="inlineStr">
        <is>
          <t>綜合機率 P跌%</t>
        </is>
      </c>
      <c r="AU1" s="1" t="inlineStr">
        <is>
          <t>綜合機率面數</t>
        </is>
      </c>
      <c r="AV1" s="1" t="inlineStr">
        <is>
          <t>綜合機率判斷</t>
        </is>
      </c>
      <c r="AW1" s="1" t="inlineStr">
        <is>
          <t>預測報酬%</t>
        </is>
      </c>
      <c r="AX1" s="1" t="inlineStr">
        <is>
          <t>預測報酬依據</t>
        </is>
      </c>
      <c r="AY1" s="1" t="inlineStr">
        <is>
          <t>幅度推演 P漲%</t>
        </is>
      </c>
      <c r="AZ1" s="1" t="inlineStr">
        <is>
          <t>幅度推演 P持平%</t>
        </is>
      </c>
      <c r="BA1" s="1" t="inlineStr">
        <is>
          <t>幅度推演 P跌%</t>
        </is>
      </c>
      <c r="BB1" s="1" t="inlineStr">
        <is>
          <t>幅度推演分類</t>
        </is>
      </c>
      <c r="BC1" s="1" t="inlineStr">
        <is>
          <t>80% 結果區間下緣%</t>
        </is>
      </c>
      <c r="BD1" s="1" t="inlineStr">
        <is>
          <t>80% 結果區間上緣%</t>
        </is>
      </c>
      <c r="BE1" s="1" t="inlineStr">
        <is>
          <t>模型平均值區間下緣%</t>
        </is>
      </c>
      <c r="BF1" s="1" t="inlineStr">
        <is>
          <t>模型平均值區間上緣%</t>
        </is>
      </c>
      <c r="BG1" s="1" t="inlineStr">
        <is>
          <t>判斷原因</t>
        </is>
      </c>
      <c r="BH1" s="1" t="inlineStr">
        <is>
          <t>狀態</t>
        </is>
      </c>
      <c r="BI1" s="1" t="inlineStr">
        <is>
          <t>結算日期</t>
        </is>
      </c>
      <c r="BJ1" s="1" t="inlineStr">
        <is>
          <t>實際報酬%</t>
        </is>
      </c>
      <c r="BK1" s="1" t="inlineStr">
        <is>
          <t>實際分類</t>
        </is>
      </c>
      <c r="BL1" s="1" t="inlineStr">
        <is>
          <t>綜合判斷對錯</t>
        </is>
      </c>
      <c r="BM1" s="1" t="inlineStr">
        <is>
          <t>綜合機率判斷對錯</t>
        </is>
      </c>
      <c r="BN1" s="1" t="inlineStr">
        <is>
          <t>綜合機率 Brier</t>
        </is>
      </c>
      <c r="BO1" s="1" t="inlineStr">
        <is>
          <t>幅度推演對錯</t>
        </is>
      </c>
      <c r="BP1" s="1" t="inlineStr">
        <is>
          <t>幅度誤差（百分點）</t>
        </is>
      </c>
      <c r="BQ1" s="1" t="inlineStr">
        <is>
          <t>落在 80% 結果區間</t>
        </is>
      </c>
      <c r="BR1" s="1" t="inlineStr">
        <is>
          <t>總經面對錯</t>
        </is>
      </c>
      <c r="BS1" s="1" t="inlineStr">
        <is>
          <t>產業鏈面對錯</t>
        </is>
      </c>
      <c r="BT1" s="1" t="inlineStr">
        <is>
          <t>歷史類比面對錯</t>
        </is>
      </c>
      <c r="BU1" s="1" t="inlineStr">
        <is>
          <t>位階面對錯</t>
        </is>
      </c>
      <c r="BV1" s="1" t="inlineStr">
        <is>
          <t>產業鏈事件是否發生</t>
        </is>
      </c>
      <c r="BW1" s="1" t="inlineStr">
        <is>
          <t>問題代碼</t>
        </is>
      </c>
      <c r="BX1" s="1" t="inlineStr">
        <is>
          <t>問題出在哪</t>
        </is>
      </c>
      <c r="BY1" s="1" t="inlineStr">
        <is>
          <t>設定版本</t>
        </is>
      </c>
    </row>
    <row r="2">
      <c r="A2" t="inlineStr">
        <is>
          <t>SC-2026-09-eq_spx-H3</t>
        </is>
      </c>
      <c r="B2" t="inlineStr">
        <is>
          <t>SC-2026-09</t>
        </is>
      </c>
      <c r="C2" t="inlineStr">
        <is>
          <t>2026-10-12</t>
        </is>
      </c>
      <c r="D2" t="inlineStr">
        <is>
          <t>2026-09</t>
        </is>
      </c>
      <c r="E2" t="inlineStr">
        <is>
          <t>2026-09</t>
        </is>
      </c>
      <c r="F2" s="8">
        <v>3</v>
      </c>
      <c r="G2" t="inlineStr">
        <is>
          <t>2026-12</t>
        </is>
      </c>
      <c r="H2" t="inlineStr">
        <is>
          <t>S&amp;P 500</t>
        </is>
      </c>
      <c r="I2" t="inlineStr">
        <is>
          <t>eq_spx</t>
        </is>
      </c>
      <c r="J2" s="7">
        <v>2.18</v>
      </c>
      <c r="K2" s="7">
        <v>7.52</v>
      </c>
      <c r="L2" s="8">
        <v>378</v>
      </c>
      <c r="M2" s="7">
        <v>3.23</v>
      </c>
      <c r="N2" s="7">
        <v>2.76</v>
      </c>
      <c r="O2" s="7">
        <v>47.51</v>
      </c>
      <c r="P2" s="7">
        <v>31.2</v>
      </c>
      <c r="Q2" s="7">
        <v>21.29</v>
      </c>
      <c r="R2" t="inlineStr">
        <is>
          <t>漲</t>
        </is>
      </c>
      <c r="S2" t="inlineStr">
        <is>
          <t>校準後：平常 +2.18% ＋ 模型超額 +0.58%</t>
        </is>
      </c>
      <c r="T2" s="7">
        <v>-8.0</v>
      </c>
      <c r="U2" t="inlineStr">
        <is>
          <t>持平</t>
        </is>
      </c>
      <c r="V2" t="inlineStr">
        <is>
          <t>日圓套利平倉</t>
        </is>
      </c>
      <c r="W2" t="inlineStr">
        <is>
          <t>美股下跌</t>
        </is>
      </c>
      <c r="X2" t="inlineStr">
        <is>
          <t>carry_spx</t>
        </is>
      </c>
      <c r="Y2" s="7">
        <v>30.0</v>
      </c>
      <c r="Z2" s="7">
        <v>38.0</v>
      </c>
      <c r="AA2" s="7">
        <v>4.0</v>
      </c>
      <c r="AB2" s="7">
        <v>54.08</v>
      </c>
      <c r="AC2" s="7">
        <v>29.1</v>
      </c>
      <c r="AD2" s="7">
        <v>16.82</v>
      </c>
      <c r="AE2" t="inlineStr">
        <is>
          <t>漲</t>
        </is>
      </c>
      <c r="AF2" t="inlineStr">
        <is>
          <t>相似時點 12 段（26 個月）之後 3 個月的中位報酬</t>
        </is>
      </c>
      <c r="AG2" s="7">
        <v>5.5</v>
      </c>
      <c r="AH2" s="7">
        <v>61.86</v>
      </c>
      <c r="AI2" s="7">
        <v>25.86</v>
      </c>
      <c r="AJ2" s="7">
        <v>12.28</v>
      </c>
      <c r="AK2" t="inlineStr">
        <is>
          <t>漲</t>
        </is>
      </c>
      <c r="AL2" t="inlineStr">
        <is>
          <t>10 年位階 99.0%（最高 20%），這一組歷史 6 段之後 6 個月的中位報酬（3 個月沿用 6 個月的表）</t>
        </is>
      </c>
      <c r="AM2" t="inlineStr">
        <is>
          <t>漲</t>
        </is>
      </c>
      <c r="AN2" s="8">
        <v>3</v>
      </c>
      <c r="AO2" s="8">
        <v>1</v>
      </c>
      <c r="AP2" s="8">
        <v>0</v>
      </c>
      <c r="AQ2" t="inlineStr">
        <is>
          <t>3／4 面同向</t>
        </is>
      </c>
      <c r="AR2" s="7">
        <v>54.48</v>
      </c>
      <c r="AS2" s="7">
        <v>28.72</v>
      </c>
      <c r="AT2" s="7">
        <v>16.8</v>
      </c>
      <c r="AU2" s="8">
        <v>3</v>
      </c>
      <c r="AV2" t="inlineStr">
        <is>
          <t>漲</t>
        </is>
      </c>
      <c r="AW2" s="7">
        <v>2.74</v>
      </c>
      <c r="AX2" t="inlineStr">
        <is>
          <t>校準後集成</t>
        </is>
      </c>
      <c r="AY2" s="7">
        <v>47.4</v>
      </c>
      <c r="AZ2" s="7">
        <v>31.24</v>
      </c>
      <c r="BA2" s="7">
        <v>21.36</v>
      </c>
      <c r="BB2" t="inlineStr">
        <is>
          <t>漲</t>
        </is>
      </c>
      <c r="BC2" s="7">
        <v>-6.69</v>
      </c>
      <c r="BD2" s="7">
        <v>10.56</v>
      </c>
      <c r="BE2" s="7">
        <v>3.84</v>
      </c>
      <c r="BF2" s="7">
        <v>7.69</v>
      </c>
      <c r="BG2" t="inlineStr">
        <is>
          <t>總經面 +2.76%（P漲 48%／P跌 21% → 漲）、產業鏈面「美股下跌」機率 30%、平常 38%（持平）、歷史類比面 +4.00%（P漲 54%／P跌 17% → 漲）、位階面 +5.50%（P漲 62%／P跌 12% → 漲）；持平帶 ±3.23%（σ_h 7.52%×0.43），各面假設實際報酬是以預估值為中心、σ_h 為標準差的常態。投票 漲 3、持平 1，綜合判斷漲（3／4 面同向）；綜合機率 P漲 54%／P跌 17%（3 面平均）→ 漲。幅度推演：預測報酬 +2.74%（P漲 47%／P跌 21% → 漲），80% 結果區間 -6.69～+10.56%。</t>
        </is>
      </c>
      <c r="BH2" t="inlineStr">
        <is>
          <t>未到期</t>
        </is>
      </c>
    </row>
    <row r="3">
      <c r="A3" t="inlineStr">
        <is>
          <t>SC-2026-09-eq_ndx-H3</t>
        </is>
      </c>
      <c r="B3" t="inlineStr">
        <is>
          <t>SC-2026-09</t>
        </is>
      </c>
      <c r="C3" t="inlineStr">
        <is>
          <t>2026-10-12</t>
        </is>
      </c>
      <c r="D3" t="inlineStr">
        <is>
          <t>2026-09</t>
        </is>
      </c>
      <c r="E3" t="inlineStr">
        <is>
          <t>2026-09</t>
        </is>
      </c>
      <c r="F3" s="8">
        <v>3</v>
      </c>
      <c r="G3" t="inlineStr">
        <is>
          <t>2026-12</t>
        </is>
      </c>
      <c r="H3" t="inlineStr">
        <is>
          <t>那斯達克 100</t>
        </is>
      </c>
      <c r="I3" t="inlineStr">
        <is>
          <t>eq_ndx</t>
        </is>
      </c>
      <c r="J3" s="7">
        <v>3.36</v>
      </c>
      <c r="K3" s="7">
        <v>12.29</v>
      </c>
      <c r="L3" s="8">
        <v>378</v>
      </c>
      <c r="M3" s="7">
        <v>5.28</v>
      </c>
      <c r="N3" s="7">
        <v>4.34</v>
      </c>
      <c r="O3" s="7">
        <v>46.95</v>
      </c>
      <c r="P3" s="7">
        <v>31.36</v>
      </c>
      <c r="Q3" s="7">
        <v>21.69</v>
      </c>
      <c r="R3" t="inlineStr">
        <is>
          <t>漲</t>
        </is>
      </c>
      <c r="S3" t="inlineStr">
        <is>
          <t>校準後：平常 +3.36% ＋ 模型超額 +0.98%</t>
        </is>
      </c>
      <c r="T3" s="7">
        <v>-4.0</v>
      </c>
      <c r="U3" t="inlineStr">
        <is>
          <t>無訊號</t>
        </is>
      </c>
      <c r="V3" t="inlineStr">
        <is>
          <t>通膨</t>
        </is>
      </c>
      <c r="W3" t="inlineStr">
        <is>
          <t>科技股下跌</t>
        </is>
      </c>
      <c r="X3" t="inlineStr">
        <is>
          <t>inflation_ndx</t>
        </is>
      </c>
      <c r="Y3" s="7">
        <v>45.0</v>
      </c>
      <c r="Z3" s="7">
        <v>49.0</v>
      </c>
      <c r="AA3" s="7">
        <v>8.9</v>
      </c>
      <c r="AB3" s="7">
        <v>61.58</v>
      </c>
      <c r="AC3" s="7">
        <v>25.99</v>
      </c>
      <c r="AD3" s="7">
        <v>12.43</v>
      </c>
      <c r="AE3" t="inlineStr">
        <is>
          <t>漲</t>
        </is>
      </c>
      <c r="AF3" t="inlineStr">
        <is>
          <t>相似時點 12 段（26 個月）之後 3 個月的中位報酬</t>
        </is>
      </c>
      <c r="AG3" s="7">
        <v>9.7</v>
      </c>
      <c r="AH3" s="7">
        <v>64.04</v>
      </c>
      <c r="AI3" s="7">
        <v>24.82</v>
      </c>
      <c r="AJ3" s="7">
        <v>11.14</v>
      </c>
      <c r="AK3" t="inlineStr">
        <is>
          <t>漲</t>
        </is>
      </c>
      <c r="AL3" t="inlineStr">
        <is>
          <t>10 年位階 100.0%（最高 20%），這一組歷史 3 段之後 6 個月的中位報酬（3 個月沿用 6 個月的表）</t>
        </is>
      </c>
      <c r="AM3" t="inlineStr">
        <is>
          <t>漲</t>
        </is>
      </c>
      <c r="AN3" s="8">
        <v>3</v>
      </c>
      <c r="AO3" s="8">
        <v>0</v>
      </c>
      <c r="AP3" s="8">
        <v>0</v>
      </c>
      <c r="AQ3" t="inlineStr">
        <is>
          <t>3／3 面同向</t>
        </is>
      </c>
      <c r="AR3" s="7">
        <v>57.52</v>
      </c>
      <c r="AS3" s="7">
        <v>27.39</v>
      </c>
      <c r="AT3" s="7">
        <v>15.09</v>
      </c>
      <c r="AU3" s="8">
        <v>3</v>
      </c>
      <c r="AV3" t="inlineStr">
        <is>
          <t>漲</t>
        </is>
      </c>
      <c r="AW3" s="7">
        <v>4.66</v>
      </c>
      <c r="AX3" t="inlineStr">
        <is>
          <t>校準後集成</t>
        </is>
      </c>
      <c r="AY3" s="7">
        <v>47.99</v>
      </c>
      <c r="AZ3" s="7">
        <v>31.08</v>
      </c>
      <c r="BA3" s="7">
        <v>20.93</v>
      </c>
      <c r="BB3" t="inlineStr">
        <is>
          <t>漲</t>
        </is>
      </c>
      <c r="BC3" s="7">
        <v>-8.49</v>
      </c>
      <c r="BD3" s="7">
        <v>17.87</v>
      </c>
      <c r="BE3" s="7">
        <v>5.82</v>
      </c>
      <c r="BF3" s="7">
        <v>13.44</v>
      </c>
      <c r="BG3" t="inlineStr">
        <is>
          <t>總經面 +4.34%（P漲 47%／P跌 22% → 漲）、產業鏈面「科技股下跌」機率 45%、平常 49%（無訊號）、歷史類比面 +8.90%（P漲 62%／P跌 12% → 漲）、位階面 +9.70%（P漲 64%／P跌 11% → 漲）；持平帶 ±5.28%（σ_h 12.29%×0.43），各面假設實際報酬是以預估值為中心、σ_h 為標準差的常態。投票 漲 3，綜合判斷漲（3／3 面同向）；綜合機率 P漲 58%／P跌 15%（3 面平均）→ 漲。幅度推演：預測報酬 +4.66%（P漲 48%／P跌 21% → 漲），80% 結果區間 -8.49～+17.87%。</t>
        </is>
      </c>
      <c r="BH3" t="inlineStr">
        <is>
          <t>未到期</t>
        </is>
      </c>
    </row>
    <row r="4">
      <c r="A4" t="inlineStr">
        <is>
          <t>SC-2026-09-eq_dji-H3</t>
        </is>
      </c>
      <c r="B4" t="inlineStr">
        <is>
          <t>SC-2026-09</t>
        </is>
      </c>
      <c r="C4" t="inlineStr">
        <is>
          <t>2026-10-12</t>
        </is>
      </c>
      <c r="D4" t="inlineStr">
        <is>
          <t>2026-09</t>
        </is>
      </c>
      <c r="E4" t="inlineStr">
        <is>
          <t>2026-09</t>
        </is>
      </c>
      <c r="F4" s="8">
        <v>3</v>
      </c>
      <c r="G4" t="inlineStr">
        <is>
          <t>2026-12</t>
        </is>
      </c>
      <c r="H4" t="inlineStr">
        <is>
          <t>道瓊工業</t>
        </is>
      </c>
      <c r="I4" t="inlineStr">
        <is>
          <t>eq_dji</t>
        </is>
      </c>
      <c r="J4" s="7">
        <v>2.04</v>
      </c>
      <c r="K4" s="7">
        <v>7.11</v>
      </c>
      <c r="L4" s="8">
        <v>378</v>
      </c>
      <c r="M4" s="7">
        <v>3.06</v>
      </c>
      <c r="N4" s="7">
        <v>2.51</v>
      </c>
      <c r="O4" s="7">
        <v>46.92</v>
      </c>
      <c r="P4" s="7">
        <v>31.41</v>
      </c>
      <c r="Q4" s="7">
        <v>21.67</v>
      </c>
      <c r="R4" t="inlineStr">
        <is>
          <t>漲</t>
        </is>
      </c>
      <c r="S4" t="inlineStr">
        <is>
          <t>校準後：平常 +2.04% ＋ 模型超額 +0.47%</t>
        </is>
      </c>
      <c r="U4" t="inlineStr">
        <is>
          <t>無訊號</t>
        </is>
      </c>
      <c r="AA4" s="7">
        <v>2.74</v>
      </c>
      <c r="AB4" s="7">
        <v>48.21</v>
      </c>
      <c r="AC4" s="7">
        <v>31.06</v>
      </c>
      <c r="AD4" s="7">
        <v>20.73</v>
      </c>
      <c r="AE4" t="inlineStr">
        <is>
          <t>漲</t>
        </is>
      </c>
      <c r="AF4" t="inlineStr">
        <is>
          <t>沒有確切標的資料：平常 +2.04% ＋ 相似時點中位超額 +0.70%</t>
        </is>
      </c>
      <c r="AK4" t="inlineStr">
        <is>
          <t>無訊號</t>
        </is>
      </c>
      <c r="AL4" t="inlineStr">
        <is>
          <t>沒有位階資料</t>
        </is>
      </c>
      <c r="AM4" t="inlineStr">
        <is>
          <t>漲</t>
        </is>
      </c>
      <c r="AN4" s="8">
        <v>2</v>
      </c>
      <c r="AO4" s="8">
        <v>0</v>
      </c>
      <c r="AP4" s="8">
        <v>0</v>
      </c>
      <c r="AQ4" t="inlineStr">
        <is>
          <t>2／2 面同向</t>
        </is>
      </c>
      <c r="AR4" s="7">
        <v>47.56</v>
      </c>
      <c r="AS4" s="7">
        <v>31.23</v>
      </c>
      <c r="AT4" s="7">
        <v>21.2</v>
      </c>
      <c r="AU4" s="8">
        <v>2</v>
      </c>
      <c r="AV4" t="inlineStr">
        <is>
          <t>漲</t>
        </is>
      </c>
      <c r="AW4" s="7">
        <v>2.49</v>
      </c>
      <c r="AX4" t="inlineStr">
        <is>
          <t>校準後集成</t>
        </is>
      </c>
      <c r="AY4" s="7">
        <v>46.81</v>
      </c>
      <c r="AZ4" s="7">
        <v>31.44</v>
      </c>
      <c r="BA4" s="7">
        <v>21.75</v>
      </c>
      <c r="BB4" t="inlineStr">
        <is>
          <t>漲</t>
        </is>
      </c>
      <c r="BC4" s="7">
        <v>-6.74</v>
      </c>
      <c r="BD4" s="7">
        <v>10.92</v>
      </c>
      <c r="BE4" s="7">
        <v>3.09</v>
      </c>
      <c r="BF4" s="7">
        <v>7.24</v>
      </c>
      <c r="BG4" t="inlineStr">
        <is>
          <t>總經面 +2.51%（P漲 47%／P跌 22% → 漲）、產業鏈面 無訊號、歷史類比面 +2.74%（P漲 48%／P跌 21% → 漲）、位階面 無訊號；持平帶 ±3.06%（σ_h 7.11%×0.43），各面假設實際報酬是以預估值為中心、σ_h 為標準差的常態。投票 漲 2，綜合判斷漲（2／2 面同向）；綜合機率 P漲 48%／P跌 21%（2 面平均）→ 漲。幅度推演：預測報酬 +2.49%（P漲 47%／P跌 22% → 漲），80% 結果區間 -6.74～+10.92%。</t>
        </is>
      </c>
      <c r="BH4" t="inlineStr">
        <is>
          <t>未到期</t>
        </is>
      </c>
    </row>
    <row r="5">
      <c r="A5" t="inlineStr">
        <is>
          <t>SC-2026-09-eq_sox-H3</t>
        </is>
      </c>
      <c r="B5" t="inlineStr">
        <is>
          <t>SC-2026-09</t>
        </is>
      </c>
      <c r="C5" t="inlineStr">
        <is>
          <t>2026-10-12</t>
        </is>
      </c>
      <c r="D5" t="inlineStr">
        <is>
          <t>2026-09</t>
        </is>
      </c>
      <c r="E5" t="inlineStr">
        <is>
          <t>2026-09</t>
        </is>
      </c>
      <c r="F5" s="8">
        <v>3</v>
      </c>
      <c r="G5" t="inlineStr">
        <is>
          <t>2026-12</t>
        </is>
      </c>
      <c r="H5" t="inlineStr">
        <is>
          <t>費城半導體</t>
        </is>
      </c>
      <c r="I5" t="inlineStr">
        <is>
          <t>eq_sox</t>
        </is>
      </c>
      <c r="J5" s="7">
        <v>3.42</v>
      </c>
      <c r="K5" s="7">
        <v>17.74</v>
      </c>
      <c r="L5" s="8">
        <v>378</v>
      </c>
      <c r="M5" s="7">
        <v>7.63</v>
      </c>
      <c r="N5" s="7">
        <v>4.65</v>
      </c>
      <c r="O5" s="7">
        <v>43.33</v>
      </c>
      <c r="P5" s="7">
        <v>32.23</v>
      </c>
      <c r="Q5" s="7">
        <v>24.44</v>
      </c>
      <c r="R5" t="inlineStr">
        <is>
          <t>漲</t>
        </is>
      </c>
      <c r="S5" t="inlineStr">
        <is>
          <t>校準後：平常 +3.42% ＋ 模型超額 +1.23%</t>
        </is>
      </c>
      <c r="T5" s="7">
        <v>14.0</v>
      </c>
      <c r="U5" t="inlineStr">
        <is>
          <t>漲</t>
        </is>
      </c>
      <c r="V5" t="inlineStr">
        <is>
          <t>跨鏈下一波</t>
        </is>
      </c>
      <c r="W5" t="inlineStr">
        <is>
          <t>半導體股大漲</t>
        </is>
      </c>
      <c r="X5" t="inlineStr">
        <is>
          <t>cycle_sox</t>
        </is>
      </c>
      <c r="Y5" s="7">
        <v>91.0</v>
      </c>
      <c r="Z5" s="7">
        <v>77.0</v>
      </c>
      <c r="AA5" s="7">
        <v>7.6</v>
      </c>
      <c r="AB5" s="7">
        <v>49.93</v>
      </c>
      <c r="AC5" s="7">
        <v>30.54</v>
      </c>
      <c r="AD5" s="7">
        <v>19.53</v>
      </c>
      <c r="AE5" t="inlineStr">
        <is>
          <t>漲</t>
        </is>
      </c>
      <c r="AF5" t="inlineStr">
        <is>
          <t>相似時點 12 段（26 個月）之後 3 個月的中位報酬</t>
        </is>
      </c>
      <c r="AG5" s="7">
        <v>11.4</v>
      </c>
      <c r="AH5" s="7">
        <v>58.41</v>
      </c>
      <c r="AI5" s="7">
        <v>27.42</v>
      </c>
      <c r="AJ5" s="7">
        <v>14.17</v>
      </c>
      <c r="AK5" t="inlineStr">
        <is>
          <t>漲</t>
        </is>
      </c>
      <c r="AL5" t="inlineStr">
        <is>
          <t>10 年位階 98.0%（最高 20%），這一組歷史 3 段之後 6 個月的中位報酬（3 個月沿用 6 個月的表）</t>
        </is>
      </c>
      <c r="AM5" t="inlineStr">
        <is>
          <t>漲</t>
        </is>
      </c>
      <c r="AN5" s="8">
        <v>4</v>
      </c>
      <c r="AO5" s="8">
        <v>0</v>
      </c>
      <c r="AP5" s="8">
        <v>0</v>
      </c>
      <c r="AQ5" t="inlineStr">
        <is>
          <t>4／4 面同向</t>
        </is>
      </c>
      <c r="AR5" s="7">
        <v>50.56</v>
      </c>
      <c r="AS5" s="7">
        <v>30.06</v>
      </c>
      <c r="AT5" s="7">
        <v>19.38</v>
      </c>
      <c r="AU5" s="8">
        <v>3</v>
      </c>
      <c r="AV5" t="inlineStr">
        <is>
          <t>漲</t>
        </is>
      </c>
      <c r="AW5" s="7">
        <v>4.67</v>
      </c>
      <c r="AX5" t="inlineStr">
        <is>
          <t>校準後集成</t>
        </is>
      </c>
      <c r="AY5" s="7">
        <v>43.37</v>
      </c>
      <c r="AZ5" s="7">
        <v>32.23</v>
      </c>
      <c r="BA5" s="7">
        <v>24.4</v>
      </c>
      <c r="BB5" t="inlineStr">
        <is>
          <t>漲</t>
        </is>
      </c>
      <c r="BC5" s="7">
        <v>-17.31</v>
      </c>
      <c r="BD5" s="7">
        <v>23.37</v>
      </c>
      <c r="BE5" s="7">
        <v>6.65</v>
      </c>
      <c r="BF5" s="7">
        <v>17.28</v>
      </c>
      <c r="BG5" t="inlineStr">
        <is>
          <t>總經面 +4.65%（P漲 43%／P跌 24% → 漲）、產業鏈面「半導體股大漲」機率 91%、平常 77%（漲）、歷史類比面 +7.60%（P漲 50%／P跌 20% → 漲）、位階面 +11.40%（P漲 58%／P跌 14% → 漲）；持平帶 ±7.63%（σ_h 17.74%×0.43），各面假設實際報酬是以預估值為中心、σ_h 為標準差的常態。投票 漲 4，綜合判斷漲（4／4 面同向）；綜合機率 P漲 51%／P跌 19%（3 面平均）→ 漲。幅度推演：預測報酬 +4.67%（P漲 43%／P跌 24% → 漲），80% 結果區間 -17.31～+23.37%。</t>
        </is>
      </c>
      <c r="BH5" t="inlineStr">
        <is>
          <t>未到期</t>
        </is>
      </c>
    </row>
    <row r="6">
      <c r="A6" t="inlineStr">
        <is>
          <t>SC-2026-09-eq_hsi-H3</t>
        </is>
      </c>
      <c r="B6" t="inlineStr">
        <is>
          <t>SC-2026-09</t>
        </is>
      </c>
      <c r="C6" t="inlineStr">
        <is>
          <t>2026-10-12</t>
        </is>
      </c>
      <c r="D6" t="inlineStr">
        <is>
          <t>2026-09</t>
        </is>
      </c>
      <c r="E6" t="inlineStr">
        <is>
          <t>2026-09</t>
        </is>
      </c>
      <c r="F6" s="8">
        <v>3</v>
      </c>
      <c r="G6" t="inlineStr">
        <is>
          <t>2026-12</t>
        </is>
      </c>
      <c r="H6" t="inlineStr">
        <is>
          <t>恆生指數</t>
        </is>
      </c>
      <c r="I6" t="inlineStr">
        <is>
          <t>eq_hsi</t>
        </is>
      </c>
      <c r="J6" s="7">
        <v>0.91</v>
      </c>
      <c r="K6" s="7">
        <v>11.91</v>
      </c>
      <c r="L6" s="8">
        <v>378</v>
      </c>
      <c r="M6" s="7">
        <v>5.12</v>
      </c>
      <c r="N6" s="7">
        <v>1.5</v>
      </c>
      <c r="O6" s="7">
        <v>38.06</v>
      </c>
      <c r="P6" s="7">
        <v>33.02</v>
      </c>
      <c r="Q6" s="7">
        <v>28.92</v>
      </c>
      <c r="R6" t="inlineStr">
        <is>
          <t>持平</t>
        </is>
      </c>
      <c r="S6" t="inlineStr">
        <is>
          <t>校準後：平常 +0.91% ＋ 模型超額 +0.59%</t>
        </is>
      </c>
      <c r="U6" t="inlineStr">
        <is>
          <t>無訊號</t>
        </is>
      </c>
      <c r="AA6" s="7">
        <v>4.6</v>
      </c>
      <c r="AB6" s="7">
        <v>48.26</v>
      </c>
      <c r="AC6" s="7">
        <v>31.02</v>
      </c>
      <c r="AD6" s="7">
        <v>20.72</v>
      </c>
      <c r="AE6" t="inlineStr">
        <is>
          <t>漲</t>
        </is>
      </c>
      <c r="AF6" t="inlineStr">
        <is>
          <t>相似時點 12 段（26 個月）之後 3 個月的中位報酬</t>
        </is>
      </c>
      <c r="AG6" s="7">
        <v>6.4</v>
      </c>
      <c r="AH6" s="7">
        <v>54.28</v>
      </c>
      <c r="AI6" s="7">
        <v>29.05</v>
      </c>
      <c r="AJ6" s="7">
        <v>16.67</v>
      </c>
      <c r="AK6" t="inlineStr">
        <is>
          <t>漲</t>
        </is>
      </c>
      <c r="AL6" t="inlineStr">
        <is>
          <t>10 年位階 49.0%（40～60%），這一組歷史 17 段之後 6 個月的中位報酬（3 個月沿用 6 個月的表）</t>
        </is>
      </c>
      <c r="AM6" t="inlineStr">
        <is>
          <t>漲</t>
        </is>
      </c>
      <c r="AN6" s="8">
        <v>2</v>
      </c>
      <c r="AO6" s="8">
        <v>1</v>
      </c>
      <c r="AP6" s="8">
        <v>0</v>
      </c>
      <c r="AQ6" t="inlineStr">
        <is>
          <t>2／3 面同向</t>
        </is>
      </c>
      <c r="AR6" s="7">
        <v>46.87</v>
      </c>
      <c r="AS6" s="7">
        <v>31.03</v>
      </c>
      <c r="AT6" s="7">
        <v>22.1</v>
      </c>
      <c r="AU6" s="8">
        <v>3</v>
      </c>
      <c r="AV6" t="inlineStr">
        <is>
          <t>漲</t>
        </is>
      </c>
      <c r="AW6" s="7">
        <v>1.75</v>
      </c>
      <c r="AX6" t="inlineStr">
        <is>
          <t>校準後集成</t>
        </is>
      </c>
      <c r="AY6" s="7">
        <v>38.86</v>
      </c>
      <c r="AZ6" s="7">
        <v>32.94</v>
      </c>
      <c r="BA6" s="7">
        <v>28.2</v>
      </c>
      <c r="BB6" t="inlineStr">
        <is>
          <t>持平</t>
        </is>
      </c>
      <c r="BC6" s="7">
        <v>-12.4</v>
      </c>
      <c r="BD6" s="7">
        <v>14.46</v>
      </c>
      <c r="BE6" s="7">
        <v>0.94</v>
      </c>
      <c r="BF6" s="7">
        <v>7.62</v>
      </c>
      <c r="BG6" t="inlineStr">
        <is>
          <t>總經面 +1.50%（P漲 38%／P跌 29% → 持平）、產業鏈面 無訊號、歷史類比面 +4.60%（P漲 48%／P跌 21% → 漲）、位階面 +6.40%（P漲 54%／P跌 17% → 漲）；持平帶 ±5.12%（σ_h 11.91%×0.43），各面假設實際報酬是以預估值為中心、σ_h 為標準差的常態。投票 漲 2、持平 1，綜合判斷漲（2／3 面同向）；綜合機率 P漲 47%／P跌 22%（3 面平均）→ 漲。幅度推演：預測報酬 +1.75%（P漲 39%／P跌 28% → 持平），80% 結果區間 -12.40～+14.46%。</t>
        </is>
      </c>
      <c r="BH6" t="inlineStr">
        <is>
          <t>未到期</t>
        </is>
      </c>
    </row>
    <row r="7">
      <c r="A7" t="inlineStr">
        <is>
          <t>SC-2026-09-eq_twii-H3</t>
        </is>
      </c>
      <c r="B7" t="inlineStr">
        <is>
          <t>SC-2026-09</t>
        </is>
      </c>
      <c r="C7" t="inlineStr">
        <is>
          <t>2026-10-12</t>
        </is>
      </c>
      <c r="D7" t="inlineStr">
        <is>
          <t>2026-09</t>
        </is>
      </c>
      <c r="E7" t="inlineStr">
        <is>
          <t>2026-09</t>
        </is>
      </c>
      <c r="F7" s="8">
        <v>3</v>
      </c>
      <c r="G7" t="inlineStr">
        <is>
          <t>2026-12</t>
        </is>
      </c>
      <c r="H7" t="inlineStr">
        <is>
          <t>台灣加權指數</t>
        </is>
      </c>
      <c r="I7" t="inlineStr">
        <is>
          <t>eq_twii</t>
        </is>
      </c>
      <c r="J7" s="7">
        <v>1.5</v>
      </c>
      <c r="K7" s="7">
        <v>11.99</v>
      </c>
      <c r="L7" s="8">
        <v>378</v>
      </c>
      <c r="M7" s="7">
        <v>5.16</v>
      </c>
      <c r="N7" s="7">
        <v>2.56</v>
      </c>
      <c r="O7" s="7">
        <v>41.42</v>
      </c>
      <c r="P7" s="7">
        <v>32.6</v>
      </c>
      <c r="Q7" s="7">
        <v>25.98</v>
      </c>
      <c r="R7" t="inlineStr">
        <is>
          <t>漲</t>
        </is>
      </c>
      <c r="S7" t="inlineStr">
        <is>
          <t>校準後：平常 +1.50% ＋ 模型超額 +1.06%</t>
        </is>
      </c>
      <c r="T7" s="7">
        <v>22.0</v>
      </c>
      <c r="U7" t="inlineStr">
        <is>
          <t>漲</t>
        </is>
      </c>
      <c r="V7" t="inlineStr">
        <is>
          <t>跨鏈下一波</t>
        </is>
      </c>
      <c r="W7" t="inlineStr">
        <is>
          <t>台股上漲</t>
        </is>
      </c>
      <c r="X7" t="inlineStr">
        <is>
          <t>cycle_twii</t>
        </is>
      </c>
      <c r="Y7" s="7">
        <v>93.0</v>
      </c>
      <c r="Z7" s="7">
        <v>71.0</v>
      </c>
      <c r="AA7" s="7">
        <v>4.9</v>
      </c>
      <c r="AB7" s="7">
        <v>49.13</v>
      </c>
      <c r="AC7" s="7">
        <v>30.8</v>
      </c>
      <c r="AD7" s="7">
        <v>20.07</v>
      </c>
      <c r="AE7" t="inlineStr">
        <is>
          <t>漲</t>
        </is>
      </c>
      <c r="AF7" t="inlineStr">
        <is>
          <t>相似時點 12 段（26 個月）之後 3 個月的中位報酬</t>
        </is>
      </c>
      <c r="AG7" s="7">
        <v>3.5</v>
      </c>
      <c r="AH7" s="7">
        <v>44.49</v>
      </c>
      <c r="AI7" s="7">
        <v>32.0</v>
      </c>
      <c r="AJ7" s="7">
        <v>23.51</v>
      </c>
      <c r="AK7" t="inlineStr">
        <is>
          <t>漲</t>
        </is>
      </c>
      <c r="AL7" t="inlineStr">
        <is>
          <t>10 年位階 100.0%（最高 20%），這一組歷史 8 段之後 6 個月的中位報酬（3 個月沿用 6 個月的表）</t>
        </is>
      </c>
      <c r="AM7" t="inlineStr">
        <is>
          <t>漲</t>
        </is>
      </c>
      <c r="AN7" s="8">
        <v>4</v>
      </c>
      <c r="AO7" s="8">
        <v>0</v>
      </c>
      <c r="AP7" s="8">
        <v>0</v>
      </c>
      <c r="AQ7" t="inlineStr">
        <is>
          <t>4／4 面同向</t>
        </is>
      </c>
      <c r="AR7" s="7">
        <v>45.01</v>
      </c>
      <c r="AS7" s="7">
        <v>31.8</v>
      </c>
      <c r="AT7" s="7">
        <v>23.19</v>
      </c>
      <c r="AU7" s="8">
        <v>3</v>
      </c>
      <c r="AV7" t="inlineStr">
        <is>
          <t>漲</t>
        </is>
      </c>
      <c r="AW7" s="7">
        <v>2.6</v>
      </c>
      <c r="AX7" t="inlineStr">
        <is>
          <t>校準後集成</t>
        </is>
      </c>
      <c r="AY7" s="7">
        <v>41.55</v>
      </c>
      <c r="AZ7" s="7">
        <v>32.58</v>
      </c>
      <c r="BA7" s="7">
        <v>25.87</v>
      </c>
      <c r="BB7" t="inlineStr">
        <is>
          <t>漲</t>
        </is>
      </c>
      <c r="BC7" s="7">
        <v>-12.58</v>
      </c>
      <c r="BD7" s="7">
        <v>15.96</v>
      </c>
      <c r="BE7" s="7">
        <v>4.59</v>
      </c>
      <c r="BF7" s="7">
        <v>11.78</v>
      </c>
      <c r="BG7" t="inlineStr">
        <is>
          <t>總經面 +2.56%（P漲 41%／P跌 26% → 漲）、產業鏈面「台股上漲」機率 93%、平常 71%（漲）、歷史類比面 +4.90%（P漲 49%／P跌 20% → 漲）、位階面 +3.50%（P漲 44%／P跌 24% → 漲）；持平帶 ±5.16%（σ_h 11.99%×0.43），各面假設實際報酬是以預估值為中心、σ_h 為標準差的常態。投票 漲 4，綜合判斷漲（4／4 面同向）；綜合機率 P漲 45%／P跌 23%（3 面平均）→ 漲。幅度推演：預測報酬 +2.60%（P漲 42%／P跌 26% → 漲），80% 結果區間 -12.58～+15.96%。</t>
        </is>
      </c>
      <c r="BH7" t="inlineStr">
        <is>
          <t>未到期</t>
        </is>
      </c>
    </row>
    <row r="8">
      <c r="A8" t="inlineStr">
        <is>
          <t>SC-2026-09-eq_n225-H3</t>
        </is>
      </c>
      <c r="B8" t="inlineStr">
        <is>
          <t>SC-2026-09</t>
        </is>
      </c>
      <c r="C8" t="inlineStr">
        <is>
          <t>2026-10-12</t>
        </is>
      </c>
      <c r="D8" t="inlineStr">
        <is>
          <t>2026-09</t>
        </is>
      </c>
      <c r="E8" t="inlineStr">
        <is>
          <t>2026-09</t>
        </is>
      </c>
      <c r="F8" s="8">
        <v>3</v>
      </c>
      <c r="G8" t="inlineStr">
        <is>
          <t>2026-12</t>
        </is>
      </c>
      <c r="H8" t="inlineStr">
        <is>
          <t>日經 225（參考）</t>
        </is>
      </c>
      <c r="I8" t="inlineStr">
        <is>
          <t>eq_n225</t>
        </is>
      </c>
      <c r="J8" s="7">
        <v>1.06</v>
      </c>
      <c r="K8" s="7">
        <v>10.21</v>
      </c>
      <c r="L8" s="8">
        <v>378</v>
      </c>
      <c r="M8" s="7">
        <v>4.39</v>
      </c>
      <c r="N8" s="7">
        <v>1.58</v>
      </c>
      <c r="O8" s="7">
        <v>39.16</v>
      </c>
      <c r="P8" s="7">
        <v>32.9</v>
      </c>
      <c r="Q8" s="7">
        <v>27.94</v>
      </c>
      <c r="R8" t="inlineStr">
        <is>
          <t>持平</t>
        </is>
      </c>
      <c r="S8" t="inlineStr">
        <is>
          <t>校準後：平常 +1.06% ＋ 模型超額 +0.52%</t>
        </is>
      </c>
      <c r="U8" t="inlineStr">
        <is>
          <t>無訊號</t>
        </is>
      </c>
      <c r="AA8" s="7">
        <v>4.0</v>
      </c>
      <c r="AB8" s="7">
        <v>48.48</v>
      </c>
      <c r="AC8" s="7">
        <v>30.96</v>
      </c>
      <c r="AD8" s="7">
        <v>20.56</v>
      </c>
      <c r="AE8" t="inlineStr">
        <is>
          <t>漲</t>
        </is>
      </c>
      <c r="AF8" t="inlineStr">
        <is>
          <t>相似時點 12 段（26 個月）之後 3 個月的中位報酬</t>
        </is>
      </c>
      <c r="AG8" s="7">
        <v>2.5</v>
      </c>
      <c r="AH8" s="7">
        <v>42.66</v>
      </c>
      <c r="AI8" s="7">
        <v>32.35</v>
      </c>
      <c r="AJ8" s="7">
        <v>24.99</v>
      </c>
      <c r="AK8" t="inlineStr">
        <is>
          <t>漲</t>
        </is>
      </c>
      <c r="AL8" t="inlineStr">
        <is>
          <t>10 年位階 99.0%（最高 20%），這一組歷史 7 段之後 6 個月的中位報酬（3 個月沿用 6 個月的表）</t>
        </is>
      </c>
      <c r="AM8" t="inlineStr">
        <is>
          <t>漲</t>
        </is>
      </c>
      <c r="AN8" s="8">
        <v>2</v>
      </c>
      <c r="AO8" s="8">
        <v>1</v>
      </c>
      <c r="AP8" s="8">
        <v>0</v>
      </c>
      <c r="AQ8" t="inlineStr">
        <is>
          <t>2／3 面同向</t>
        </is>
      </c>
      <c r="AR8" s="7">
        <v>43.43</v>
      </c>
      <c r="AS8" s="7">
        <v>32.07</v>
      </c>
      <c r="AT8" s="7">
        <v>24.5</v>
      </c>
      <c r="AU8" s="8">
        <v>3</v>
      </c>
      <c r="AV8" t="inlineStr">
        <is>
          <t>漲</t>
        </is>
      </c>
      <c r="AW8" s="7">
        <v>1.76</v>
      </c>
      <c r="AX8" t="inlineStr">
        <is>
          <t>校準後集成</t>
        </is>
      </c>
      <c r="AY8" s="7">
        <v>39.84</v>
      </c>
      <c r="AZ8" s="7">
        <v>32.81</v>
      </c>
      <c r="BA8" s="7">
        <v>27.35</v>
      </c>
      <c r="BB8" t="inlineStr">
        <is>
          <t>持平</t>
        </is>
      </c>
      <c r="BC8" s="7">
        <v>-10.93</v>
      </c>
      <c r="BD8" s="7">
        <v>14.17</v>
      </c>
      <c r="BE8" s="7">
        <v>1.13</v>
      </c>
      <c r="BF8" s="7">
        <v>7.44</v>
      </c>
      <c r="BG8" t="inlineStr">
        <is>
          <t>總經面 +1.58%（P漲 39%／P跌 28% → 持平）、產業鏈面 無訊號、歷史類比面 +4.00%（P漲 48%／P跌 21% → 漲）、位階面 +2.50%（P漲 43%／P跌 25% → 漲）；持平帶 ±4.39%（σ_h 10.21%×0.43），各面假設實際報酬是以預估值為中心、σ_h 為標準差的常態。投票 漲 2、持平 1，綜合判斷漲（2／3 面同向）；綜合機率 P漲 43%／P跌 24%（3 面平均）→ 漲。幅度推演：預測報酬 +1.76%（P漲 40%／P跌 27% → 持平），80% 結果區間 -10.93～+14.17%。</t>
        </is>
      </c>
      <c r="BH8" t="inlineStr">
        <is>
          <t>未到期</t>
        </is>
      </c>
    </row>
    <row r="9">
      <c r="A9" t="inlineStr">
        <is>
          <t>SC-2026-09-eq_sse-H3</t>
        </is>
      </c>
      <c r="B9" t="inlineStr">
        <is>
          <t>SC-2026-09</t>
        </is>
      </c>
      <c r="C9" t="inlineStr">
        <is>
          <t>2026-10-12</t>
        </is>
      </c>
      <c r="D9" t="inlineStr">
        <is>
          <t>2026-09</t>
        </is>
      </c>
      <c r="E9" t="inlineStr">
        <is>
          <t>2026-09</t>
        </is>
      </c>
      <c r="F9" s="8">
        <v>3</v>
      </c>
      <c r="G9" t="inlineStr">
        <is>
          <t>2026-12</t>
        </is>
      </c>
      <c r="H9" t="inlineStr">
        <is>
          <t>上證指數（參考）</t>
        </is>
      </c>
      <c r="I9" t="inlineStr">
        <is>
          <t>eq_sse</t>
        </is>
      </c>
      <c r="J9" s="7">
        <v>1.04</v>
      </c>
      <c r="K9" s="7">
        <v>13.18</v>
      </c>
      <c r="L9" s="8">
        <v>348</v>
      </c>
      <c r="M9" s="7">
        <v>5.67</v>
      </c>
      <c r="N9" s="7">
        <v>1.81</v>
      </c>
      <c r="O9" s="7">
        <v>38.48</v>
      </c>
      <c r="P9" s="7">
        <v>33.0</v>
      </c>
      <c r="Q9" s="7">
        <v>28.52</v>
      </c>
      <c r="R9" t="inlineStr">
        <is>
          <t>持平</t>
        </is>
      </c>
      <c r="S9" t="inlineStr">
        <is>
          <t>校準後：平常 +1.04% ＋ 模型超額 +0.77%</t>
        </is>
      </c>
      <c r="U9" t="inlineStr">
        <is>
          <t>無訊號</t>
        </is>
      </c>
      <c r="AA9" s="7">
        <v>4.66</v>
      </c>
      <c r="AB9" s="7">
        <v>46.95</v>
      </c>
      <c r="AC9" s="7">
        <v>31.39</v>
      </c>
      <c r="AD9" s="7">
        <v>21.66</v>
      </c>
      <c r="AE9" t="inlineStr">
        <is>
          <t>漲</t>
        </is>
      </c>
      <c r="AF9" t="inlineStr">
        <is>
          <t>沒有確切標的資料：平常 +1.04% ＋ 相似時點中位超額 +3.62%</t>
        </is>
      </c>
      <c r="AK9" t="inlineStr">
        <is>
          <t>無訊號</t>
        </is>
      </c>
      <c r="AL9" t="inlineStr">
        <is>
          <t>沒有位階資料</t>
        </is>
      </c>
      <c r="AM9" t="inlineStr">
        <is>
          <t>持平</t>
        </is>
      </c>
      <c r="AN9" s="8">
        <v>1</v>
      </c>
      <c r="AO9" s="8">
        <v>1</v>
      </c>
      <c r="AP9" s="8">
        <v>0</v>
      </c>
      <c r="AQ9" t="inlineStr">
        <is>
          <t>平手（漲 1、持平 1）</t>
        </is>
      </c>
      <c r="AR9" s="7">
        <v>42.72</v>
      </c>
      <c r="AS9" s="7">
        <v>32.2</v>
      </c>
      <c r="AT9" s="7">
        <v>25.09</v>
      </c>
      <c r="AU9" s="8">
        <v>2</v>
      </c>
      <c r="AV9" t="inlineStr">
        <is>
          <t>漲</t>
        </is>
      </c>
      <c r="AW9" s="7">
        <v>2.09</v>
      </c>
      <c r="AX9" t="inlineStr">
        <is>
          <t>校準後集成</t>
        </is>
      </c>
      <c r="AY9" s="7">
        <v>39.3</v>
      </c>
      <c r="AZ9" s="7">
        <v>32.9</v>
      </c>
      <c r="BA9" s="7">
        <v>27.8</v>
      </c>
      <c r="BB9" t="inlineStr">
        <is>
          <t>持平</t>
        </is>
      </c>
      <c r="BC9" s="7">
        <v>-11.83</v>
      </c>
      <c r="BD9" s="7">
        <v>18.47</v>
      </c>
      <c r="BE9" s="7">
        <v>2.58</v>
      </c>
      <c r="BF9" s="7">
        <v>9.97</v>
      </c>
      <c r="BG9" t="inlineStr">
        <is>
          <t>總經面 +1.81%（P漲 38%／P跌 29% → 持平）、產業鏈面 無訊號、歷史類比面 +4.66%（P漲 47%／P跌 22% → 漲）、位階面 無訊號；持平帶 ±5.67%（σ_h 13.18%×0.43），各面假設實際報酬是以預估值為中心、σ_h 為標準差的常態。投票 漲 1、持平 1 平手，綜合記為持平；綜合機率 P漲 43%／P跌 25%（2 面平均）→ 漲。幅度推演：預測報酬 +2.09%（P漲 39%／P跌 28% → 持平），80% 結果區間 -11.83～+18.47%。</t>
        </is>
      </c>
      <c r="BH9" t="inlineStr">
        <is>
          <t>未到期</t>
        </is>
      </c>
    </row>
    <row r="10">
      <c r="A10" t="inlineStr">
        <is>
          <t>SC-2026-09-b_ust_long-H3</t>
        </is>
      </c>
      <c r="B10" t="inlineStr">
        <is>
          <t>SC-2026-09</t>
        </is>
      </c>
      <c r="C10" t="inlineStr">
        <is>
          <t>2026-10-12</t>
        </is>
      </c>
      <c r="D10" t="inlineStr">
        <is>
          <t>2026-09</t>
        </is>
      </c>
      <c r="E10" t="inlineStr">
        <is>
          <t>2026-09</t>
        </is>
      </c>
      <c r="F10" s="8">
        <v>3</v>
      </c>
      <c r="G10" t="inlineStr">
        <is>
          <t>2026-12</t>
        </is>
      </c>
      <c r="H10" t="inlineStr">
        <is>
          <t>美國長天期公債基金 VUSTX</t>
        </is>
      </c>
      <c r="I10" t="inlineStr">
        <is>
          <t>b_ust_long</t>
        </is>
      </c>
      <c r="J10" s="7">
        <v>1.18</v>
      </c>
      <c r="K10" s="7">
        <v>5.62</v>
      </c>
      <c r="L10" s="8">
        <v>378</v>
      </c>
      <c r="M10" s="7">
        <v>2.42</v>
      </c>
      <c r="N10" s="7">
        <v>1.02</v>
      </c>
      <c r="O10" s="7">
        <v>40.16</v>
      </c>
      <c r="P10" s="7">
        <v>32.82</v>
      </c>
      <c r="Q10" s="7">
        <v>27.02</v>
      </c>
      <c r="R10" t="inlineStr">
        <is>
          <t>漲</t>
        </is>
      </c>
      <c r="S10" t="inlineStr">
        <is>
          <t>校準後：平常 +1.18% ＋ 模型超額 -0.16%</t>
        </is>
      </c>
      <c r="T10" s="7">
        <v>19.0</v>
      </c>
      <c r="U10" t="inlineStr">
        <is>
          <t>漲</t>
        </is>
      </c>
      <c r="V10" t="inlineStr">
        <is>
          <t>跨鏈下一波</t>
        </is>
      </c>
      <c r="W10" t="inlineStr">
        <is>
          <t>美國長債上漲（利率下降）</t>
        </is>
      </c>
      <c r="X10" t="inlineStr">
        <is>
          <t>dollar_ust</t>
        </is>
      </c>
      <c r="Y10" s="7">
        <v>92.0</v>
      </c>
      <c r="Z10" s="7">
        <v>73.0</v>
      </c>
      <c r="AA10" s="7">
        <v>2.5</v>
      </c>
      <c r="AB10" s="7">
        <v>50.57</v>
      </c>
      <c r="AC10" s="7">
        <v>30.36</v>
      </c>
      <c r="AD10" s="7">
        <v>19.07</v>
      </c>
      <c r="AE10" t="inlineStr">
        <is>
          <t>漲</t>
        </is>
      </c>
      <c r="AF10" t="inlineStr">
        <is>
          <t>相似時點 12 段（26 個月）之後 3 個月的中位報酬</t>
        </is>
      </c>
      <c r="AK10" t="inlineStr">
        <is>
          <t>無訊號</t>
        </is>
      </c>
      <c r="AL10" t="inlineStr">
        <is>
          <t>10 年位階 3.0%（最低 20%）這一組只有 2 段（少於 3 段）</t>
        </is>
      </c>
      <c r="AM10" t="inlineStr">
        <is>
          <t>漲</t>
        </is>
      </c>
      <c r="AN10" s="8">
        <v>3</v>
      </c>
      <c r="AO10" s="8">
        <v>0</v>
      </c>
      <c r="AP10" s="8">
        <v>0</v>
      </c>
      <c r="AQ10" t="inlineStr">
        <is>
          <t>3／3 面同向</t>
        </is>
      </c>
      <c r="AR10" s="7">
        <v>45.36</v>
      </c>
      <c r="AS10" s="7">
        <v>31.59</v>
      </c>
      <c r="AT10" s="7">
        <v>23.05</v>
      </c>
      <c r="AU10" s="8">
        <v>2</v>
      </c>
      <c r="AV10" t="inlineStr">
        <is>
          <t>漲</t>
        </is>
      </c>
      <c r="AW10" s="7">
        <v>1.2</v>
      </c>
      <c r="AX10" t="inlineStr">
        <is>
          <t>校準後集成</t>
        </is>
      </c>
      <c r="AY10" s="7">
        <v>41.41</v>
      </c>
      <c r="AZ10" s="7">
        <v>32.62</v>
      </c>
      <c r="BA10" s="7">
        <v>25.97</v>
      </c>
      <c r="BB10" t="inlineStr">
        <is>
          <t>漲</t>
        </is>
      </c>
      <c r="BC10" s="7">
        <v>-5.19</v>
      </c>
      <c r="BD10" s="7">
        <v>7.58</v>
      </c>
      <c r="BE10" s="7">
        <v>-1.54</v>
      </c>
      <c r="BF10" s="7">
        <v>3.11</v>
      </c>
      <c r="BG10" t="inlineStr">
        <is>
          <t>總經面 +1.02%（P漲 40%／P跌 27% → 漲）、產業鏈面「美國長債上漲（利率下降）」機率 92%、平常 73%（漲）、歷史類比面 +2.50%（P漲 51%／P跌 19% → 漲）、位階面 無訊號；持平帶 ±2.42%（σ_h 5.62%×0.43），各面假設實際報酬是以預估值為中心、σ_h 為標準差的常態。投票 漲 3，綜合判斷漲（3／3 面同向）；綜合機率 P漲 45%／P跌 23%（2 面平均）→ 漲。幅度推演：預測報酬 +1.20%（P漲 41%／P跌 26% → 漲），80% 結果區間 -5.19～+7.58%。</t>
        </is>
      </c>
      <c r="BH10" t="inlineStr">
        <is>
          <t>未到期</t>
        </is>
      </c>
    </row>
    <row r="11">
      <c r="A11" t="inlineStr">
        <is>
          <t>SC-2026-09-b_ig-H3</t>
        </is>
      </c>
      <c r="B11" t="inlineStr">
        <is>
          <t>SC-2026-09</t>
        </is>
      </c>
      <c r="C11" t="inlineStr">
        <is>
          <t>2026-10-12</t>
        </is>
      </c>
      <c r="D11" t="inlineStr">
        <is>
          <t>2026-09</t>
        </is>
      </c>
      <c r="E11" t="inlineStr">
        <is>
          <t>2026-09</t>
        </is>
      </c>
      <c r="F11" s="8">
        <v>3</v>
      </c>
      <c r="G11" t="inlineStr">
        <is>
          <t>2026-12</t>
        </is>
      </c>
      <c r="H11" t="inlineStr">
        <is>
          <t>投資級公司債基金 VWESX</t>
        </is>
      </c>
      <c r="I11" t="inlineStr">
        <is>
          <t>b_ig</t>
        </is>
      </c>
      <c r="J11" s="7">
        <v>1.38</v>
      </c>
      <c r="K11" s="7">
        <v>4.74</v>
      </c>
      <c r="L11" s="8">
        <v>378</v>
      </c>
      <c r="M11" s="7">
        <v>2.04</v>
      </c>
      <c r="N11" s="7">
        <v>1.32</v>
      </c>
      <c r="O11" s="7">
        <v>43.96</v>
      </c>
      <c r="P11" s="7">
        <v>32.12</v>
      </c>
      <c r="Q11" s="7">
        <v>23.92</v>
      </c>
      <c r="R11" t="inlineStr">
        <is>
          <t>漲</t>
        </is>
      </c>
      <c r="S11" t="inlineStr">
        <is>
          <t>校準後：平常 +1.38% ＋ 模型超額 -0.06%</t>
        </is>
      </c>
      <c r="U11" t="inlineStr">
        <is>
          <t>無訊號</t>
        </is>
      </c>
      <c r="AA11" s="7">
        <v>2.9</v>
      </c>
      <c r="AB11" s="7">
        <v>57.2</v>
      </c>
      <c r="AC11" s="7">
        <v>27.93</v>
      </c>
      <c r="AD11" s="7">
        <v>14.87</v>
      </c>
      <c r="AE11" t="inlineStr">
        <is>
          <t>漲</t>
        </is>
      </c>
      <c r="AF11" t="inlineStr">
        <is>
          <t>相似時點 12 段（26 個月）之後 3 個月的中位報酬</t>
        </is>
      </c>
      <c r="AG11" s="7">
        <v>4.8</v>
      </c>
      <c r="AH11" s="7">
        <v>71.98</v>
      </c>
      <c r="AI11" s="7">
        <v>20.57</v>
      </c>
      <c r="AJ11" s="7">
        <v>7.45</v>
      </c>
      <c r="AK11" t="inlineStr">
        <is>
          <t>漲</t>
        </is>
      </c>
      <c r="AL11" t="inlineStr">
        <is>
          <t>10 年位階 41.0%（40～60%），這一組歷史 6 段之後 6 個月的中位報酬（3 個月沿用 6 個月的表）</t>
        </is>
      </c>
      <c r="AM11" t="inlineStr">
        <is>
          <t>漲</t>
        </is>
      </c>
      <c r="AN11" s="8">
        <v>3</v>
      </c>
      <c r="AO11" s="8">
        <v>0</v>
      </c>
      <c r="AP11" s="8">
        <v>0</v>
      </c>
      <c r="AQ11" t="inlineStr">
        <is>
          <t>3／3 面同向</t>
        </is>
      </c>
      <c r="AR11" s="7">
        <v>57.71</v>
      </c>
      <c r="AS11" s="7">
        <v>26.87</v>
      </c>
      <c r="AT11" s="7">
        <v>15.41</v>
      </c>
      <c r="AU11" s="8">
        <v>3</v>
      </c>
      <c r="AV11" t="inlineStr">
        <is>
          <t>漲</t>
        </is>
      </c>
      <c r="AW11" s="7">
        <v>1.5</v>
      </c>
      <c r="AX11" t="inlineStr">
        <is>
          <t>校準後集成</t>
        </is>
      </c>
      <c r="AY11" s="7">
        <v>45.46</v>
      </c>
      <c r="AZ11" s="7">
        <v>31.78</v>
      </c>
      <c r="BA11" s="7">
        <v>22.76</v>
      </c>
      <c r="BB11" t="inlineStr">
        <is>
          <t>漲</t>
        </is>
      </c>
      <c r="BC11" s="7">
        <v>-4.38</v>
      </c>
      <c r="BD11" s="7">
        <v>6.65</v>
      </c>
      <c r="BE11" s="7">
        <v>-0.51</v>
      </c>
      <c r="BF11" s="7">
        <v>3.32</v>
      </c>
      <c r="BG11" t="inlineStr">
        <is>
          <t>總經面 +1.32%（P漲 44%／P跌 24% → 漲）、產業鏈面 無訊號、歷史類比面 +2.90%（P漲 57%／P跌 15% → 漲）、位階面 +4.80%（P漲 72%／P跌 7% → 漲）；持平帶 ±2.04%（σ_h 4.74%×0.43），各面假設實際報酬是以預估值為中心、σ_h 為標準差的常態。投票 漲 3，綜合判斷漲（3／3 面同向）；綜合機率 P漲 58%／P跌 15%（3 面平均）→ 漲。幅度推演：預測報酬 +1.50%（P漲 45%／P跌 23% → 漲），80% 結果區間 -4.38～+6.65%。</t>
        </is>
      </c>
      <c r="BH11" t="inlineStr">
        <is>
          <t>未到期</t>
        </is>
      </c>
    </row>
    <row r="12">
      <c r="A12" t="inlineStr">
        <is>
          <t>SC-2026-09-b_hy-H3</t>
        </is>
      </c>
      <c r="B12" t="inlineStr">
        <is>
          <t>SC-2026-09</t>
        </is>
      </c>
      <c r="C12" t="inlineStr">
        <is>
          <t>2026-10-12</t>
        </is>
      </c>
      <c r="D12" t="inlineStr">
        <is>
          <t>2026-09</t>
        </is>
      </c>
      <c r="E12" t="inlineStr">
        <is>
          <t>2026-09</t>
        </is>
      </c>
      <c r="F12" s="8">
        <v>3</v>
      </c>
      <c r="G12" t="inlineStr">
        <is>
          <t>2026-12</t>
        </is>
      </c>
      <c r="H12" t="inlineStr">
        <is>
          <t>高收益公司債基金 VWEHX</t>
        </is>
      </c>
      <c r="I12" t="inlineStr">
        <is>
          <t>b_hy</t>
        </is>
      </c>
      <c r="J12" s="7">
        <v>1.47</v>
      </c>
      <c r="K12" s="7">
        <v>3.74</v>
      </c>
      <c r="L12" s="8">
        <v>378</v>
      </c>
      <c r="M12" s="7">
        <v>1.61</v>
      </c>
      <c r="N12" s="7">
        <v>1.59</v>
      </c>
      <c r="O12" s="7">
        <v>49.79</v>
      </c>
      <c r="P12" s="7">
        <v>30.6</v>
      </c>
      <c r="Q12" s="7">
        <v>19.61</v>
      </c>
      <c r="R12" t="inlineStr">
        <is>
          <t>漲</t>
        </is>
      </c>
      <c r="S12" t="inlineStr">
        <is>
          <t>校準後：平常 +1.47% ＋ 模型超額 +0.12%</t>
        </is>
      </c>
      <c r="T12" s="7">
        <v>0.0</v>
      </c>
      <c r="U12" t="inlineStr">
        <is>
          <t>無訊號</t>
        </is>
      </c>
      <c r="V12" t="inlineStr">
        <is>
          <t>景氣擴張</t>
        </is>
      </c>
      <c r="W12" t="inlineStr">
        <is>
          <t>高收益債上漲（市場敢冒險）</t>
        </is>
      </c>
      <c r="X12" t="inlineStr">
        <is>
          <t>cycle_hy</t>
        </is>
      </c>
      <c r="Y12" s="7">
        <v>74.0</v>
      </c>
      <c r="Z12" s="7">
        <v>74.0</v>
      </c>
      <c r="AA12" s="7">
        <v>2.3</v>
      </c>
      <c r="AB12" s="7">
        <v>57.32</v>
      </c>
      <c r="AC12" s="7">
        <v>27.89</v>
      </c>
      <c r="AD12" s="7">
        <v>14.79</v>
      </c>
      <c r="AE12" t="inlineStr">
        <is>
          <t>漲</t>
        </is>
      </c>
      <c r="AF12" t="inlineStr">
        <is>
          <t>相似時點 12 段（26 個月）之後 3 個月的中位報酬</t>
        </is>
      </c>
      <c r="AG12" s="7">
        <v>2.4</v>
      </c>
      <c r="AH12" s="7">
        <v>58.36</v>
      </c>
      <c r="AI12" s="7">
        <v>27.46</v>
      </c>
      <c r="AJ12" s="7">
        <v>14.18</v>
      </c>
      <c r="AK12" t="inlineStr">
        <is>
          <t>漲</t>
        </is>
      </c>
      <c r="AL12" t="inlineStr">
        <is>
          <t>10 年位階 91.0%（最高 20%），這一組歷史 4 段之後 6 個月的中位報酬（3 個月沿用 6 個月的表）</t>
        </is>
      </c>
      <c r="AM12" t="inlineStr">
        <is>
          <t>漲</t>
        </is>
      </c>
      <c r="AN12" s="8">
        <v>3</v>
      </c>
      <c r="AO12" s="8">
        <v>0</v>
      </c>
      <c r="AP12" s="8">
        <v>0</v>
      </c>
      <c r="AQ12" t="inlineStr">
        <is>
          <t>3／3 面同向</t>
        </is>
      </c>
      <c r="AR12" s="7">
        <v>55.16</v>
      </c>
      <c r="AS12" s="7">
        <v>28.65</v>
      </c>
      <c r="AT12" s="7">
        <v>16.19</v>
      </c>
      <c r="AU12" s="8">
        <v>3</v>
      </c>
      <c r="AV12" t="inlineStr">
        <is>
          <t>漲</t>
        </is>
      </c>
      <c r="AW12" s="7">
        <v>1.63</v>
      </c>
      <c r="AX12" t="inlineStr">
        <is>
          <t>校準後集成</t>
        </is>
      </c>
      <c r="AY12" s="7">
        <v>50.21</v>
      </c>
      <c r="AZ12" s="7">
        <v>30.47</v>
      </c>
      <c r="BA12" s="7">
        <v>19.32</v>
      </c>
      <c r="BB12" t="inlineStr">
        <is>
          <t>漲</t>
        </is>
      </c>
      <c r="BC12" s="7">
        <v>-1.95</v>
      </c>
      <c r="BD12" s="7">
        <v>5.09</v>
      </c>
      <c r="BE12" s="7">
        <v>1.2</v>
      </c>
      <c r="BF12" s="7">
        <v>3.21</v>
      </c>
      <c r="BG12" t="inlineStr">
        <is>
          <t>總經面 +1.59%（P漲 50%／P跌 20% → 漲）、產業鏈面「高收益債上漲（市場敢冒險）」機率 74%、平常 74%（無訊號）、歷史類比面 +2.30%（P漲 57%／P跌 15% → 漲）、位階面 +2.40%（P漲 58%／P跌 14% → 漲）；持平帶 ±1.61%（σ_h 3.74%×0.43），各面假設實際報酬是以預估值為中心、σ_h 為標準差的常態。投票 漲 3，綜合判斷漲（3／3 面同向）；綜合機率 P漲 55%／P跌 16%（3 面平均）→ 漲。幅度推演：預測報酬 +1.63%（P漲 50%／P跌 19% → 漲），80% 結果區間 -1.95～+5.09%。</t>
        </is>
      </c>
      <c r="BH12" t="inlineStr">
        <is>
          <t>未到期</t>
        </is>
      </c>
    </row>
    <row r="13">
      <c r="A13" t="inlineStr">
        <is>
          <t>SC-2026-09-b_brk-H3</t>
        </is>
      </c>
      <c r="B13" t="inlineStr">
        <is>
          <t>SC-2026-09</t>
        </is>
      </c>
      <c r="C13" t="inlineStr">
        <is>
          <t>2026-10-12</t>
        </is>
      </c>
      <c r="D13" t="inlineStr">
        <is>
          <t>2026-09</t>
        </is>
      </c>
      <c r="E13" t="inlineStr">
        <is>
          <t>2026-09</t>
        </is>
      </c>
      <c r="F13" s="8">
        <v>3</v>
      </c>
      <c r="G13" t="inlineStr">
        <is>
          <t>2026-12</t>
        </is>
      </c>
      <c r="H13" t="inlineStr">
        <is>
          <t>波克夏 BRK-A</t>
        </is>
      </c>
      <c r="I13" t="inlineStr">
        <is>
          <t>b_brk</t>
        </is>
      </c>
      <c r="J13" s="7">
        <v>2.77</v>
      </c>
      <c r="K13" s="7">
        <v>9.28</v>
      </c>
      <c r="L13" s="8">
        <v>378</v>
      </c>
      <c r="M13" s="7">
        <v>3.99</v>
      </c>
      <c r="N13" s="7">
        <v>2.51</v>
      </c>
      <c r="O13" s="7">
        <v>43.66</v>
      </c>
      <c r="P13" s="7">
        <v>32.16</v>
      </c>
      <c r="Q13" s="7">
        <v>24.18</v>
      </c>
      <c r="R13" t="inlineStr">
        <is>
          <t>漲</t>
        </is>
      </c>
      <c r="S13" t="inlineStr">
        <is>
          <t>校準後：平常 +2.77% ＋ 模型超額 -0.26%</t>
        </is>
      </c>
      <c r="U13" t="inlineStr">
        <is>
          <t>無訊號</t>
        </is>
      </c>
      <c r="AA13" s="7">
        <v>2.5</v>
      </c>
      <c r="AB13" s="7">
        <v>43.62</v>
      </c>
      <c r="AC13" s="7">
        <v>32.16</v>
      </c>
      <c r="AD13" s="7">
        <v>24.22</v>
      </c>
      <c r="AE13" t="inlineStr">
        <is>
          <t>漲</t>
        </is>
      </c>
      <c r="AF13" t="inlineStr">
        <is>
          <t>相似時點 12 段（26 個月）之後 3 個月的中位報酬</t>
        </is>
      </c>
      <c r="AG13" s="7">
        <v>4.6</v>
      </c>
      <c r="AH13" s="7">
        <v>52.62</v>
      </c>
      <c r="AI13" s="7">
        <v>29.65</v>
      </c>
      <c r="AJ13" s="7">
        <v>17.73</v>
      </c>
      <c r="AK13" t="inlineStr">
        <is>
          <t>漲</t>
        </is>
      </c>
      <c r="AL13" t="inlineStr">
        <is>
          <t>10 年位階 90.0%（最高 20%），這一組歷史 6 段之後 6 個月的中位報酬（3 個月沿用 6 個月的表）</t>
        </is>
      </c>
      <c r="AM13" t="inlineStr">
        <is>
          <t>漲</t>
        </is>
      </c>
      <c r="AN13" s="8">
        <v>3</v>
      </c>
      <c r="AO13" s="8">
        <v>0</v>
      </c>
      <c r="AP13" s="8">
        <v>0</v>
      </c>
      <c r="AQ13" t="inlineStr">
        <is>
          <t>3／3 面同向</t>
        </is>
      </c>
      <c r="AR13" s="7">
        <v>46.63</v>
      </c>
      <c r="AS13" s="7">
        <v>31.32</v>
      </c>
      <c r="AT13" s="7">
        <v>22.04</v>
      </c>
      <c r="AU13" s="8">
        <v>3</v>
      </c>
      <c r="AV13" t="inlineStr">
        <is>
          <t>漲</t>
        </is>
      </c>
      <c r="AW13" s="7">
        <v>2.55</v>
      </c>
      <c r="AX13" t="inlineStr">
        <is>
          <t>校準後集成</t>
        </is>
      </c>
      <c r="AY13" s="7">
        <v>43.83</v>
      </c>
      <c r="AZ13" s="7">
        <v>32.12</v>
      </c>
      <c r="BA13" s="7">
        <v>24.05</v>
      </c>
      <c r="BB13" t="inlineStr">
        <is>
          <t>漲</t>
        </is>
      </c>
      <c r="BC13" s="7">
        <v>-7.99</v>
      </c>
      <c r="BD13" s="7">
        <v>13.78</v>
      </c>
      <c r="BE13" s="7">
        <v>-2.12</v>
      </c>
      <c r="BF13" s="7">
        <v>3.79</v>
      </c>
      <c r="BG13" t="inlineStr">
        <is>
          <t>總經面 +2.51%（P漲 44%／P跌 24% → 漲）、產業鏈面 無訊號、歷史類比面 +2.50%（P漲 44%／P跌 24% → 漲）、位階面 +4.60%（P漲 53%／P跌 18% → 漲）；持平帶 ±3.99%（σ_h 9.28%×0.43），各面假設實際報酬是以預估值為中心、σ_h 為標準差的常態。投票 漲 3，綜合判斷漲（3／3 面同向）；綜合機率 P漲 47%／P跌 22%（3 面平均）→ 漲。幅度推演：預測報酬 +2.55%（P漲 44%／P跌 24% → 漲），80% 結果區間 -7.99～+13.78%。</t>
        </is>
      </c>
      <c r="BH13" t="inlineStr">
        <is>
          <t>未到期</t>
        </is>
      </c>
    </row>
    <row r="14">
      <c r="A14" t="inlineStr">
        <is>
          <t>SC-2026-09-c_gold-H3</t>
        </is>
      </c>
      <c r="B14" t="inlineStr">
        <is>
          <t>SC-2026-09</t>
        </is>
      </c>
      <c r="C14" t="inlineStr">
        <is>
          <t>2026-10-12</t>
        </is>
      </c>
      <c r="D14" t="inlineStr">
        <is>
          <t>2026-09</t>
        </is>
      </c>
      <c r="E14" t="inlineStr">
        <is>
          <t>2026-09</t>
        </is>
      </c>
      <c r="F14" s="8">
        <v>3</v>
      </c>
      <c r="G14" t="inlineStr">
        <is>
          <t>2027-01</t>
        </is>
      </c>
      <c r="H14" t="inlineStr">
        <is>
          <t>黃金</t>
        </is>
      </c>
      <c r="I14" t="inlineStr">
        <is>
          <t>c_gold</t>
        </is>
      </c>
      <c r="J14" s="7">
        <v>1.92</v>
      </c>
      <c r="K14" s="7">
        <v>6.98</v>
      </c>
      <c r="L14" s="8">
        <v>377</v>
      </c>
      <c r="M14" s="7">
        <v>3.0</v>
      </c>
      <c r="N14" s="7">
        <v>1.83</v>
      </c>
      <c r="O14" s="7">
        <v>43.34</v>
      </c>
      <c r="P14" s="7">
        <v>32.21</v>
      </c>
      <c r="Q14" s="7">
        <v>24.45</v>
      </c>
      <c r="R14" t="inlineStr">
        <is>
          <t>漲</t>
        </is>
      </c>
      <c r="S14" t="inlineStr">
        <is>
          <t>校準後：平常 +1.92% ＋ 模型超額 -0.09%</t>
        </is>
      </c>
      <c r="T14" s="7">
        <v>-3.0</v>
      </c>
      <c r="U14" t="inlineStr">
        <is>
          <t>無訊號</t>
        </is>
      </c>
      <c r="V14" t="inlineStr">
        <is>
          <t>通膨</t>
        </is>
      </c>
      <c r="W14" t="inlineStr">
        <is>
          <t>黃金上漲</t>
        </is>
      </c>
      <c r="X14" t="inlineStr">
        <is>
          <t>inflation_gold</t>
        </is>
      </c>
      <c r="Y14" s="7">
        <v>50.0</v>
      </c>
      <c r="Z14" s="7">
        <v>53.0</v>
      </c>
      <c r="AA14" s="7">
        <v>0.3</v>
      </c>
      <c r="AB14" s="7">
        <v>34.94</v>
      </c>
      <c r="AC14" s="7">
        <v>33.24</v>
      </c>
      <c r="AD14" s="7">
        <v>31.82</v>
      </c>
      <c r="AE14" t="inlineStr">
        <is>
          <t>持平</t>
        </is>
      </c>
      <c r="AF14" t="inlineStr">
        <is>
          <t>相似時點 12 段（25 個月）之後 3 個月的中位報酬</t>
        </is>
      </c>
      <c r="AG14" s="7">
        <v>7.1</v>
      </c>
      <c r="AH14" s="7">
        <v>72.15</v>
      </c>
      <c r="AI14" s="7">
        <v>20.46</v>
      </c>
      <c r="AJ14" s="7">
        <v>7.39</v>
      </c>
      <c r="AK14" t="inlineStr">
        <is>
          <t>漲</t>
        </is>
      </c>
      <c r="AL14" t="inlineStr">
        <is>
          <t>10 年位階 95.0%（最高 20%），這一組歷史 4 段之後 6 個月的中位報酬（3 個月沿用 6 個月的表）</t>
        </is>
      </c>
      <c r="AM14" t="inlineStr">
        <is>
          <t>漲</t>
        </is>
      </c>
      <c r="AN14" s="8">
        <v>2</v>
      </c>
      <c r="AO14" s="8">
        <v>1</v>
      </c>
      <c r="AP14" s="8">
        <v>0</v>
      </c>
      <c r="AQ14" t="inlineStr">
        <is>
          <t>2／3 面同向</t>
        </is>
      </c>
      <c r="AR14" s="7">
        <v>50.14</v>
      </c>
      <c r="AS14" s="7">
        <v>28.64</v>
      </c>
      <c r="AT14" s="7">
        <v>21.22</v>
      </c>
      <c r="AU14" s="8">
        <v>3</v>
      </c>
      <c r="AV14" t="inlineStr">
        <is>
          <t>漲</t>
        </is>
      </c>
      <c r="AW14" s="7">
        <v>1.71</v>
      </c>
      <c r="AX14" t="inlineStr">
        <is>
          <t>校準後集成</t>
        </is>
      </c>
      <c r="AY14" s="7">
        <v>42.67</v>
      </c>
      <c r="AZ14" s="7">
        <v>32.34</v>
      </c>
      <c r="BA14" s="7">
        <v>24.99</v>
      </c>
      <c r="BB14" t="inlineStr">
        <is>
          <t>漲</t>
        </is>
      </c>
      <c r="BC14" s="7">
        <v>-6.31</v>
      </c>
      <c r="BD14" s="7">
        <v>11.36</v>
      </c>
      <c r="BE14" s="7">
        <v>-0.51</v>
      </c>
      <c r="BF14" s="7">
        <v>4.2</v>
      </c>
      <c r="BG14" t="inlineStr">
        <is>
          <t>總經面 +1.83%（P漲 43%／P跌 24% → 漲）、產業鏈面「黃金上漲」機率 50%、平常 53%（無訊號）、歷史類比面 +0.30%（P漲 35%／P跌 32% → 持平）、位階面 +7.10%（P漲 72%／P跌 7% → 漲）；持平帶 ±3.00%（σ_h 6.98%×0.43），各面假設實際報酬是以預估值為中心、σ_h 為標準差的常態。投票 漲 2、持平 1，綜合判斷漲（2／3 面同向）；綜合機率 P漲 50%／P跌 21%（3 面平均）→ 漲。幅度推演：預測報酬 +1.71%（P漲 43%／P跌 25% → 漲），80% 結果區間 -6.31～+11.36%。</t>
        </is>
      </c>
      <c r="BH14" t="inlineStr">
        <is>
          <t>未到期</t>
        </is>
      </c>
    </row>
    <row r="15">
      <c r="A15" t="inlineStr">
        <is>
          <t>SC-2026-09-c_silver-H3</t>
        </is>
      </c>
      <c r="B15" t="inlineStr">
        <is>
          <t>SC-2026-09</t>
        </is>
      </c>
      <c r="C15" t="inlineStr">
        <is>
          <t>2026-10-12</t>
        </is>
      </c>
      <c r="D15" t="inlineStr">
        <is>
          <t>2026-09</t>
        </is>
      </c>
      <c r="E15" t="inlineStr">
        <is>
          <t>2026-09</t>
        </is>
      </c>
      <c r="F15" s="8">
        <v>3</v>
      </c>
      <c r="G15" t="inlineStr">
        <is>
          <t>2027-01</t>
        </is>
      </c>
      <c r="H15" t="inlineStr">
        <is>
          <t>白銀</t>
        </is>
      </c>
      <c r="I15" t="inlineStr">
        <is>
          <t>c_silver</t>
        </is>
      </c>
      <c r="J15" s="7">
        <v>2.03</v>
      </c>
      <c r="K15" s="7">
        <v>13.2</v>
      </c>
      <c r="L15" s="8">
        <v>377</v>
      </c>
      <c r="M15" s="7">
        <v>5.68</v>
      </c>
      <c r="N15" s="7">
        <v>2.52</v>
      </c>
      <c r="O15" s="7">
        <v>40.54</v>
      </c>
      <c r="P15" s="7">
        <v>32.74</v>
      </c>
      <c r="Q15" s="7">
        <v>26.72</v>
      </c>
      <c r="R15" t="inlineStr">
        <is>
          <t>漲</t>
        </is>
      </c>
      <c r="S15" t="inlineStr">
        <is>
          <t>校準後：平常 +2.03% ＋ 模型超額 +0.49%</t>
        </is>
      </c>
      <c r="U15" t="inlineStr">
        <is>
          <t>無訊號</t>
        </is>
      </c>
      <c r="AA15" s="7">
        <v>0.0</v>
      </c>
      <c r="AB15" s="7">
        <v>33.35</v>
      </c>
      <c r="AC15" s="7">
        <v>33.3</v>
      </c>
      <c r="AD15" s="7">
        <v>33.35</v>
      </c>
      <c r="AE15" t="inlineStr">
        <is>
          <t>持平</t>
        </is>
      </c>
      <c r="AF15" t="inlineStr">
        <is>
          <t>相似時點 12 段（25 個月）之後 3 個月的中位報酬</t>
        </is>
      </c>
      <c r="AG15" s="7">
        <v>5.5</v>
      </c>
      <c r="AH15" s="7">
        <v>49.46</v>
      </c>
      <c r="AI15" s="7">
        <v>30.69</v>
      </c>
      <c r="AJ15" s="7">
        <v>19.85</v>
      </c>
      <c r="AK15" t="inlineStr">
        <is>
          <t>漲</t>
        </is>
      </c>
      <c r="AL15" t="inlineStr">
        <is>
          <t>10 年位階 94.0%（最高 20%），這一組歷史 6 段之後 6 個月的中位報酬（3 個月沿用 6 個月的表）</t>
        </is>
      </c>
      <c r="AM15" t="inlineStr">
        <is>
          <t>漲</t>
        </is>
      </c>
      <c r="AN15" s="8">
        <v>2</v>
      </c>
      <c r="AO15" s="8">
        <v>1</v>
      </c>
      <c r="AP15" s="8">
        <v>0</v>
      </c>
      <c r="AQ15" t="inlineStr">
        <is>
          <t>2／3 面同向</t>
        </is>
      </c>
      <c r="AR15" s="7">
        <v>41.12</v>
      </c>
      <c r="AS15" s="7">
        <v>32.24</v>
      </c>
      <c r="AT15" s="7">
        <v>26.64</v>
      </c>
      <c r="AU15" s="8">
        <v>3</v>
      </c>
      <c r="AV15" t="inlineStr">
        <is>
          <t>漲</t>
        </is>
      </c>
      <c r="AW15" s="7">
        <v>2.41</v>
      </c>
      <c r="AX15" t="inlineStr">
        <is>
          <t>校準後集成</t>
        </is>
      </c>
      <c r="AY15" s="7">
        <v>40.22</v>
      </c>
      <c r="AZ15" s="7">
        <v>32.78</v>
      </c>
      <c r="BA15" s="7">
        <v>27.0</v>
      </c>
      <c r="BB15" t="inlineStr">
        <is>
          <t>漲</t>
        </is>
      </c>
      <c r="BC15" s="7">
        <v>-11.67</v>
      </c>
      <c r="BD15" s="7">
        <v>18.64</v>
      </c>
      <c r="BE15" s="7">
        <v>1.05</v>
      </c>
      <c r="BF15" s="7">
        <v>8.8</v>
      </c>
      <c r="BG15" t="inlineStr">
        <is>
          <t>總經面 +2.52%（P漲 41%／P跌 27% → 漲）、產業鏈面 無訊號、歷史類比面 +0.00%（P漲 33%／P跌 33% → 持平）、位階面 +5.50%（P漲 49%／P跌 20% → 漲）；持平帶 ±5.68%（σ_h 13.20%×0.43），各面假設實際報酬是以預估值為中心、σ_h 為標準差的常態。投票 漲 2、持平 1，綜合判斷漲（2／3 面同向）；綜合機率 P漲 41%／P跌 27%（3 面平均）→ 漲。幅度推演：預測報酬 +2.41%（P漲 40%／P跌 27% → 漲），80% 結果區間 -11.67～+18.64%。</t>
        </is>
      </c>
      <c r="BH15" t="inlineStr">
        <is>
          <t>未到期</t>
        </is>
      </c>
    </row>
    <row r="16">
      <c r="A16" t="inlineStr">
        <is>
          <t>SC-2026-09-c_platinum-H3</t>
        </is>
      </c>
      <c r="B16" t="inlineStr">
        <is>
          <t>SC-2026-09</t>
        </is>
      </c>
      <c r="C16" t="inlineStr">
        <is>
          <t>2026-10-12</t>
        </is>
      </c>
      <c r="D16" t="inlineStr">
        <is>
          <t>2026-09</t>
        </is>
      </c>
      <c r="E16" t="inlineStr">
        <is>
          <t>2026-09</t>
        </is>
      </c>
      <c r="F16" s="8">
        <v>3</v>
      </c>
      <c r="G16" t="inlineStr">
        <is>
          <t>2027-01</t>
        </is>
      </c>
      <c r="H16" t="inlineStr">
        <is>
          <t>白金</t>
        </is>
      </c>
      <c r="I16" t="inlineStr">
        <is>
          <t>c_platinum</t>
        </is>
      </c>
      <c r="J16" s="7">
        <v>1.11</v>
      </c>
      <c r="K16" s="7">
        <v>11.77</v>
      </c>
      <c r="L16" s="8">
        <v>377</v>
      </c>
      <c r="M16" s="7">
        <v>5.06</v>
      </c>
      <c r="N16" s="7">
        <v>1.83</v>
      </c>
      <c r="O16" s="7">
        <v>39.19</v>
      </c>
      <c r="P16" s="7">
        <v>32.9</v>
      </c>
      <c r="Q16" s="7">
        <v>27.91</v>
      </c>
      <c r="R16" t="inlineStr">
        <is>
          <t>持平</t>
        </is>
      </c>
      <c r="S16" t="inlineStr">
        <is>
          <t>校準後：平常 +1.11% ＋ 模型超額 +0.72%</t>
        </is>
      </c>
      <c r="U16" t="inlineStr">
        <is>
          <t>無訊號</t>
        </is>
      </c>
      <c r="AA16" s="7">
        <v>-0.5</v>
      </c>
      <c r="AB16" s="7">
        <v>31.83</v>
      </c>
      <c r="AC16" s="7">
        <v>33.25</v>
      </c>
      <c r="AD16" s="7">
        <v>34.92</v>
      </c>
      <c r="AE16" t="inlineStr">
        <is>
          <t>持平</t>
        </is>
      </c>
      <c r="AF16" t="inlineStr">
        <is>
          <t>相似時點 12 段（25 個月）之後 3 個月的中位報酬</t>
        </is>
      </c>
      <c r="AG16" s="7">
        <v>5.4</v>
      </c>
      <c r="AH16" s="7">
        <v>51.15</v>
      </c>
      <c r="AI16" s="7">
        <v>30.14</v>
      </c>
      <c r="AJ16" s="7">
        <v>18.71</v>
      </c>
      <c r="AK16" t="inlineStr">
        <is>
          <t>漲</t>
        </is>
      </c>
      <c r="AL16" t="inlineStr">
        <is>
          <t>10 年位階 95.0%（最高 20%），這一組歷史 5 段之後 6 個月的中位報酬（3 個月沿用 6 個月的表）</t>
        </is>
      </c>
      <c r="AM16" t="inlineStr">
        <is>
          <t>持平</t>
        </is>
      </c>
      <c r="AN16" s="8">
        <v>1</v>
      </c>
      <c r="AO16" s="8">
        <v>2</v>
      </c>
      <c r="AP16" s="8">
        <v>0</v>
      </c>
      <c r="AQ16" t="inlineStr">
        <is>
          <t>2／3 面同向</t>
        </is>
      </c>
      <c r="AR16" s="7">
        <v>40.72</v>
      </c>
      <c r="AS16" s="7">
        <v>32.1</v>
      </c>
      <c r="AT16" s="7">
        <v>27.18</v>
      </c>
      <c r="AU16" s="8">
        <v>3</v>
      </c>
      <c r="AV16" t="inlineStr">
        <is>
          <t>漲</t>
        </is>
      </c>
      <c r="AW16" s="7">
        <v>1.46</v>
      </c>
      <c r="AX16" t="inlineStr">
        <is>
          <t>校準後集成</t>
        </is>
      </c>
      <c r="AY16" s="7">
        <v>37.99</v>
      </c>
      <c r="AZ16" s="7">
        <v>33.03</v>
      </c>
      <c r="BA16" s="7">
        <v>28.98</v>
      </c>
      <c r="BB16" t="inlineStr">
        <is>
          <t>持平</t>
        </is>
      </c>
      <c r="BC16" s="7">
        <v>-11.14</v>
      </c>
      <c r="BD16" s="7">
        <v>13.63</v>
      </c>
      <c r="BE16" s="7">
        <v>1.41</v>
      </c>
      <c r="BF16" s="7">
        <v>9.37</v>
      </c>
      <c r="BG16" t="inlineStr">
        <is>
          <t>總經面 +1.83%（P漲 39%／P跌 28% → 持平）、產業鏈面 無訊號、歷史類比面 -0.50%（P漲 32%／P跌 35% → 持平）、位階面 +5.40%（P漲 51%／P跌 19% → 漲）；持平帶 ±5.06%（σ_h 11.77%×0.43），各面假設實際報酬是以預估值為中心、σ_h 為標準差的常態。投票 漲 1、持平 2，綜合判斷持平（2／3 面同向）；綜合機率 P漲 41%／P跌 27%（3 面平均）→ 漲。幅度推演：預測報酬 +1.46%（P漲 38%／P跌 29% → 持平），80% 結果區間 -11.14～+13.63%。</t>
        </is>
      </c>
      <c r="BH16" t="inlineStr">
        <is>
          <t>未到期</t>
        </is>
      </c>
    </row>
    <row r="17">
      <c r="A17" t="inlineStr">
        <is>
          <t>SC-2026-09-c_copper-H3</t>
        </is>
      </c>
      <c r="B17" t="inlineStr">
        <is>
          <t>SC-2026-09</t>
        </is>
      </c>
      <c r="C17" t="inlineStr">
        <is>
          <t>2026-10-12</t>
        </is>
      </c>
      <c r="D17" t="inlineStr">
        <is>
          <t>2026-09</t>
        </is>
      </c>
      <c r="E17" t="inlineStr">
        <is>
          <t>2026-09</t>
        </is>
      </c>
      <c r="F17" s="8">
        <v>3</v>
      </c>
      <c r="G17" t="inlineStr">
        <is>
          <t>2027-01</t>
        </is>
      </c>
      <c r="H17" t="inlineStr">
        <is>
          <t>銅</t>
        </is>
      </c>
      <c r="I17" t="inlineStr">
        <is>
          <t>c_copper</t>
        </is>
      </c>
      <c r="J17" s="7">
        <v>1.26</v>
      </c>
      <c r="K17" s="7">
        <v>13.16</v>
      </c>
      <c r="L17" s="8">
        <v>377</v>
      </c>
      <c r="M17" s="7">
        <v>5.66</v>
      </c>
      <c r="N17" s="7">
        <v>1.79</v>
      </c>
      <c r="O17" s="7">
        <v>38.44</v>
      </c>
      <c r="P17" s="7">
        <v>32.99</v>
      </c>
      <c r="Q17" s="7">
        <v>28.57</v>
      </c>
      <c r="R17" t="inlineStr">
        <is>
          <t>持平</t>
        </is>
      </c>
      <c r="S17" t="inlineStr">
        <is>
          <t>校準後：平常 +1.26% ＋ 模型超額 +0.53%</t>
        </is>
      </c>
      <c r="U17" t="inlineStr">
        <is>
          <t>無訊號</t>
        </is>
      </c>
      <c r="AA17" s="7">
        <v>0.9</v>
      </c>
      <c r="AB17" s="7">
        <v>35.88</v>
      </c>
      <c r="AC17" s="7">
        <v>33.21</v>
      </c>
      <c r="AD17" s="7">
        <v>30.91</v>
      </c>
      <c r="AE17" t="inlineStr">
        <is>
          <t>持平</t>
        </is>
      </c>
      <c r="AF17" t="inlineStr">
        <is>
          <t>相似時點 12 段（25 個月）之後 3 個月的中位報酬</t>
        </is>
      </c>
      <c r="AG17" s="7">
        <v>3.5</v>
      </c>
      <c r="AH17" s="7">
        <v>43.48</v>
      </c>
      <c r="AI17" s="7">
        <v>32.2</v>
      </c>
      <c r="AJ17" s="7">
        <v>24.32</v>
      </c>
      <c r="AK17" t="inlineStr">
        <is>
          <t>漲</t>
        </is>
      </c>
      <c r="AL17" t="inlineStr">
        <is>
          <t>10 年位階 100.0%（最高 20%），這一組歷史 7 段之後 6 個月的中位報酬（3 個月沿用 6 個月的表）</t>
        </is>
      </c>
      <c r="AM17" t="inlineStr">
        <is>
          <t>持平</t>
        </is>
      </c>
      <c r="AN17" s="8">
        <v>1</v>
      </c>
      <c r="AO17" s="8">
        <v>2</v>
      </c>
      <c r="AP17" s="8">
        <v>0</v>
      </c>
      <c r="AQ17" t="inlineStr">
        <is>
          <t>2／3 面同向</t>
        </is>
      </c>
      <c r="AR17" s="7">
        <v>39.27</v>
      </c>
      <c r="AS17" s="7">
        <v>32.8</v>
      </c>
      <c r="AT17" s="7">
        <v>27.93</v>
      </c>
      <c r="AU17" s="8">
        <v>3</v>
      </c>
      <c r="AV17" t="inlineStr">
        <is>
          <t>持平</t>
        </is>
      </c>
      <c r="AW17" s="7">
        <v>1.57</v>
      </c>
      <c r="AX17" t="inlineStr">
        <is>
          <t>校準後集成</t>
        </is>
      </c>
      <c r="AY17" s="7">
        <v>37.8</v>
      </c>
      <c r="AZ17" s="7">
        <v>33.06</v>
      </c>
      <c r="BA17" s="7">
        <v>29.14</v>
      </c>
      <c r="BB17" t="inlineStr">
        <is>
          <t>持平</t>
        </is>
      </c>
      <c r="BC17" s="7">
        <v>-12.05</v>
      </c>
      <c r="BD17" s="7">
        <v>16.93</v>
      </c>
      <c r="BE17" s="7">
        <v>-0.06</v>
      </c>
      <c r="BF17" s="7">
        <v>9.11</v>
      </c>
      <c r="BG17" t="inlineStr">
        <is>
          <t>總經面 +1.79%（P漲 38%／P跌 29% → 持平）、產業鏈面 無訊號、歷史類比面 +0.90%（P漲 36%／P跌 31% → 持平）、位階面 +3.50%（P漲 43%／P跌 24% → 漲）；持平帶 ±5.66%（σ_h 13.16%×0.43），各面假設實際報酬是以預估值為中心、σ_h 為標準差的常態。投票 漲 1、持平 2，綜合判斷持平（2／3 面同向）；綜合機率 P漲 39%／P跌 28%（3 面平均）→ 持平。幅度推演：預測報酬 +1.57%（P漲 38%／P跌 29% → 持平），80% 結果區間 -12.05～+16.93%。</t>
        </is>
      </c>
      <c r="BH17" t="inlineStr">
        <is>
          <t>未到期</t>
        </is>
      </c>
    </row>
    <row r="18">
      <c r="A18" t="inlineStr">
        <is>
          <t>SC-2026-09-c_alu-H3</t>
        </is>
      </c>
      <c r="B18" t="inlineStr">
        <is>
          <t>SC-2026-09</t>
        </is>
      </c>
      <c r="C18" t="inlineStr">
        <is>
          <t>2026-10-12</t>
        </is>
      </c>
      <c r="D18" t="inlineStr">
        <is>
          <t>2026-09</t>
        </is>
      </c>
      <c r="E18" t="inlineStr">
        <is>
          <t>2026-09</t>
        </is>
      </c>
      <c r="F18" s="8">
        <v>3</v>
      </c>
      <c r="G18" t="inlineStr">
        <is>
          <t>2027-01</t>
        </is>
      </c>
      <c r="H18" t="inlineStr">
        <is>
          <t>鋁</t>
        </is>
      </c>
      <c r="I18" t="inlineStr">
        <is>
          <t>c_alu</t>
        </is>
      </c>
      <c r="J18" s="7">
        <v>0.44</v>
      </c>
      <c r="K18" s="7">
        <v>9.81</v>
      </c>
      <c r="L18" s="8">
        <v>377</v>
      </c>
      <c r="M18" s="7">
        <v>4.22</v>
      </c>
      <c r="N18" s="7">
        <v>1.35</v>
      </c>
      <c r="O18" s="7">
        <v>38.49</v>
      </c>
      <c r="P18" s="7">
        <v>33.0</v>
      </c>
      <c r="Q18" s="7">
        <v>28.51</v>
      </c>
      <c r="R18" t="inlineStr">
        <is>
          <t>持平</t>
        </is>
      </c>
      <c r="S18" t="inlineStr">
        <is>
          <t>校準後：平常 +0.44% ＋ 模型超額 +0.91%</t>
        </is>
      </c>
      <c r="U18" t="inlineStr">
        <is>
          <t>無訊號</t>
        </is>
      </c>
      <c r="AA18" s="7">
        <v>2.57</v>
      </c>
      <c r="AB18" s="7">
        <v>43.32</v>
      </c>
      <c r="AC18" s="7">
        <v>32.24</v>
      </c>
      <c r="AD18" s="7">
        <v>24.44</v>
      </c>
      <c r="AE18" t="inlineStr">
        <is>
          <t>漲</t>
        </is>
      </c>
      <c r="AF18" t="inlineStr">
        <is>
          <t>沒有確切標的資料：平常 +0.44% ＋ 相似時點中位超額 +2.13%</t>
        </is>
      </c>
      <c r="AK18" t="inlineStr">
        <is>
          <t>無訊號</t>
        </is>
      </c>
      <c r="AL18" t="inlineStr">
        <is>
          <t>沒有位階資料</t>
        </is>
      </c>
      <c r="AM18" t="inlineStr">
        <is>
          <t>持平</t>
        </is>
      </c>
      <c r="AN18" s="8">
        <v>1</v>
      </c>
      <c r="AO18" s="8">
        <v>1</v>
      </c>
      <c r="AP18" s="8">
        <v>0</v>
      </c>
      <c r="AQ18" t="inlineStr">
        <is>
          <t>平手（漲 1、持平 1）</t>
        </is>
      </c>
      <c r="AR18" s="7">
        <v>40.91</v>
      </c>
      <c r="AS18" s="7">
        <v>32.62</v>
      </c>
      <c r="AT18" s="7">
        <v>26.48</v>
      </c>
      <c r="AU18" s="8">
        <v>2</v>
      </c>
      <c r="AV18" t="inlineStr">
        <is>
          <t>漲</t>
        </is>
      </c>
      <c r="AW18" s="7">
        <v>1.42</v>
      </c>
      <c r="AX18" t="inlineStr">
        <is>
          <t>校準後集成</t>
        </is>
      </c>
      <c r="AY18" s="7">
        <v>38.77</v>
      </c>
      <c r="AZ18" s="7">
        <v>32.96</v>
      </c>
      <c r="BA18" s="7">
        <v>28.27</v>
      </c>
      <c r="BB18" t="inlineStr">
        <is>
          <t>持平</t>
        </is>
      </c>
      <c r="BC18" s="7">
        <v>-9.14</v>
      </c>
      <c r="BD18" s="7">
        <v>12.19</v>
      </c>
      <c r="BE18" s="7">
        <v>3.09</v>
      </c>
      <c r="BF18" s="7">
        <v>8.01</v>
      </c>
      <c r="BG18" t="inlineStr">
        <is>
          <t>總經面 +1.35%（P漲 38%／P跌 29% → 持平）、產業鏈面 無訊號、歷史類比面 +2.57%（P漲 43%／P跌 24% → 漲）、位階面 無訊號；持平帶 ±4.22%（σ_h 9.81%×0.43），各面假設實際報酬是以預估值為中心、σ_h 為標準差的常態。投票 漲 1、持平 1 平手，綜合記為持平；綜合機率 P漲 41%／P跌 26%（2 面平均）→ 漲。幅度推演：預測報酬 +1.42%（P漲 39%／P跌 28% → 持平），80% 結果區間 -9.14～+12.19%。</t>
        </is>
      </c>
      <c r="BH18" t="inlineStr">
        <is>
          <t>未到期</t>
        </is>
      </c>
    </row>
    <row r="19">
      <c r="A19" t="inlineStr">
        <is>
          <t>SC-2026-09-c_brent-H3</t>
        </is>
      </c>
      <c r="B19" t="inlineStr">
        <is>
          <t>SC-2026-09</t>
        </is>
      </c>
      <c r="C19" t="inlineStr">
        <is>
          <t>2026-10-12</t>
        </is>
      </c>
      <c r="D19" t="inlineStr">
        <is>
          <t>2026-09</t>
        </is>
      </c>
      <c r="E19" t="inlineStr">
        <is>
          <t>2026-09</t>
        </is>
      </c>
      <c r="F19" s="8">
        <v>3</v>
      </c>
      <c r="G19" t="inlineStr">
        <is>
          <t>2027-01</t>
        </is>
      </c>
      <c r="H19" t="inlineStr">
        <is>
          <t>布蘭特原油</t>
        </is>
      </c>
      <c r="I19" t="inlineStr">
        <is>
          <t>c_brent</t>
        </is>
      </c>
      <c r="J19" s="7">
        <v>1.35</v>
      </c>
      <c r="K19" s="7">
        <v>19.05</v>
      </c>
      <c r="L19" s="8">
        <v>377</v>
      </c>
      <c r="M19" s="7">
        <v>8.19</v>
      </c>
      <c r="N19" s="7">
        <v>2.8</v>
      </c>
      <c r="O19" s="7">
        <v>38.86</v>
      </c>
      <c r="P19" s="7">
        <v>32.94</v>
      </c>
      <c r="Q19" s="7">
        <v>28.2</v>
      </c>
      <c r="R19" t="inlineStr">
        <is>
          <t>持平</t>
        </is>
      </c>
      <c r="S19" t="inlineStr">
        <is>
          <t>校準後：平常 +1.35% ＋ 模型超額 +1.45%</t>
        </is>
      </c>
      <c r="U19" t="inlineStr">
        <is>
          <t>無訊號</t>
        </is>
      </c>
      <c r="AA19" s="7">
        <v>3.21</v>
      </c>
      <c r="AB19" s="7">
        <v>39.69</v>
      </c>
      <c r="AC19" s="7">
        <v>32.83</v>
      </c>
      <c r="AD19" s="7">
        <v>27.48</v>
      </c>
      <c r="AE19" t="inlineStr">
        <is>
          <t>持平</t>
        </is>
      </c>
      <c r="AF19" t="inlineStr">
        <is>
          <t>沒有確切標的資料：平常 +1.35% ＋ 相似時點中位超額 +1.86%</t>
        </is>
      </c>
      <c r="AK19" t="inlineStr">
        <is>
          <t>無訊號</t>
        </is>
      </c>
      <c r="AL19" t="inlineStr">
        <is>
          <t>沒有位階資料</t>
        </is>
      </c>
      <c r="AM19" t="inlineStr">
        <is>
          <t>持平</t>
        </is>
      </c>
      <c r="AN19" s="8">
        <v>0</v>
      </c>
      <c r="AO19" s="8">
        <v>2</v>
      </c>
      <c r="AP19" s="8">
        <v>0</v>
      </c>
      <c r="AQ19" t="inlineStr">
        <is>
          <t>2／2 面同向</t>
        </is>
      </c>
      <c r="AR19" s="7">
        <v>39.27</v>
      </c>
      <c r="AS19" s="7">
        <v>32.88</v>
      </c>
      <c r="AT19" s="7">
        <v>27.84</v>
      </c>
      <c r="AU19" s="8">
        <v>2</v>
      </c>
      <c r="AV19" t="inlineStr">
        <is>
          <t>持平</t>
        </is>
      </c>
      <c r="AW19" s="7">
        <v>2.72</v>
      </c>
      <c r="AX19" t="inlineStr">
        <is>
          <t>校準後集成</t>
        </is>
      </c>
      <c r="AY19" s="7">
        <v>38.7</v>
      </c>
      <c r="AZ19" s="7">
        <v>32.96</v>
      </c>
      <c r="BA19" s="7">
        <v>28.34</v>
      </c>
      <c r="BB19" t="inlineStr">
        <is>
          <t>持平</t>
        </is>
      </c>
      <c r="BC19" s="7">
        <v>-17.84</v>
      </c>
      <c r="BD19" s="7">
        <v>22.94</v>
      </c>
      <c r="BE19" s="7">
        <v>2.52</v>
      </c>
      <c r="BF19" s="7">
        <v>15.56</v>
      </c>
      <c r="BG19" t="inlineStr">
        <is>
          <t>總經面 +2.80%（P漲 39%／P跌 28% → 持平）、產業鏈面 無訊號、歷史類比面 +3.21%（P漲 40%／P跌 27% → 持平）、位階面 無訊號；持平帶 ±8.19%（σ_h 19.05%×0.43），各面假設實際報酬是以預估值為中心、σ_h 為標準差的常態。投票 持平 2，綜合判斷持平（2／2 面同向）；綜合機率 P漲 39%／P跌 28%（2 面平均）→ 持平。幅度推演：預測報酬 +2.72%（P漲 39%／P跌 28% → 持平），80% 結果區間 -17.84～+22.94%。</t>
        </is>
      </c>
      <c r="BH19" t="inlineStr">
        <is>
          <t>未到期</t>
        </is>
      </c>
    </row>
    <row r="20">
      <c r="A20" t="inlineStr">
        <is>
          <t>SC-2026-09-c_wti-H3</t>
        </is>
      </c>
      <c r="B20" t="inlineStr">
        <is>
          <t>SC-2026-09</t>
        </is>
      </c>
      <c r="C20" t="inlineStr">
        <is>
          <t>2026-10-12</t>
        </is>
      </c>
      <c r="D20" t="inlineStr">
        <is>
          <t>2026-09</t>
        </is>
      </c>
      <c r="E20" t="inlineStr">
        <is>
          <t>2026-09</t>
        </is>
      </c>
      <c r="F20" s="8">
        <v>3</v>
      </c>
      <c r="G20" t="inlineStr">
        <is>
          <t>2027-01</t>
        </is>
      </c>
      <c r="H20" t="inlineStr">
        <is>
          <t>WTI 原油</t>
        </is>
      </c>
      <c r="I20" t="inlineStr">
        <is>
          <t>c_wti</t>
        </is>
      </c>
      <c r="J20" s="7">
        <v>1.2</v>
      </c>
      <c r="K20" s="7">
        <v>19.47</v>
      </c>
      <c r="L20" s="8">
        <v>377</v>
      </c>
      <c r="M20" s="7">
        <v>8.37</v>
      </c>
      <c r="N20" s="7">
        <v>2.76</v>
      </c>
      <c r="O20" s="7">
        <v>38.66</v>
      </c>
      <c r="P20" s="7">
        <v>32.96</v>
      </c>
      <c r="Q20" s="7">
        <v>28.38</v>
      </c>
      <c r="R20" t="inlineStr">
        <is>
          <t>持平</t>
        </is>
      </c>
      <c r="S20" t="inlineStr">
        <is>
          <t>校準後：平常 +1.20% ＋ 模型超額 +1.56%</t>
        </is>
      </c>
      <c r="U20" t="inlineStr">
        <is>
          <t>無訊號</t>
        </is>
      </c>
      <c r="AA20" s="7">
        <v>5.7</v>
      </c>
      <c r="AB20" s="7">
        <v>44.55</v>
      </c>
      <c r="AC20" s="7">
        <v>31.96</v>
      </c>
      <c r="AD20" s="7">
        <v>23.49</v>
      </c>
      <c r="AE20" t="inlineStr">
        <is>
          <t>漲</t>
        </is>
      </c>
      <c r="AF20" t="inlineStr">
        <is>
          <t>相似時點 12 段（25 個月）之後 3 個月的中位報酬</t>
        </is>
      </c>
      <c r="AG20" s="7">
        <v>2.8</v>
      </c>
      <c r="AH20" s="7">
        <v>38.74</v>
      </c>
      <c r="AI20" s="7">
        <v>32.95</v>
      </c>
      <c r="AJ20" s="7">
        <v>28.31</v>
      </c>
      <c r="AK20" t="inlineStr">
        <is>
          <t>持平</t>
        </is>
      </c>
      <c r="AL20" t="inlineStr">
        <is>
          <t>10 年位階 94.0%（最高 20%），這一組歷史 7 段之後 6 個月的中位報酬（3 個月沿用 6 個月的表）</t>
        </is>
      </c>
      <c r="AM20" t="inlineStr">
        <is>
          <t>持平</t>
        </is>
      </c>
      <c r="AN20" s="8">
        <v>1</v>
      </c>
      <c r="AO20" s="8">
        <v>2</v>
      </c>
      <c r="AP20" s="8">
        <v>0</v>
      </c>
      <c r="AQ20" t="inlineStr">
        <is>
          <t>2／3 面同向</t>
        </is>
      </c>
      <c r="AR20" s="7">
        <v>40.65</v>
      </c>
      <c r="AS20" s="7">
        <v>32.62</v>
      </c>
      <c r="AT20" s="7">
        <v>26.73</v>
      </c>
      <c r="AU20" s="8">
        <v>3</v>
      </c>
      <c r="AV20" t="inlineStr">
        <is>
          <t>漲</t>
        </is>
      </c>
      <c r="AW20" s="7">
        <v>2.75</v>
      </c>
      <c r="AX20" t="inlineStr">
        <is>
          <t>校準後集成</t>
        </is>
      </c>
      <c r="AY20" s="7">
        <v>38.64</v>
      </c>
      <c r="AZ20" s="7">
        <v>32.96</v>
      </c>
      <c r="BA20" s="7">
        <v>28.4</v>
      </c>
      <c r="BB20" t="inlineStr">
        <is>
          <t>持平</t>
        </is>
      </c>
      <c r="BC20" s="7">
        <v>-16.58</v>
      </c>
      <c r="BD20" s="7">
        <v>20.9</v>
      </c>
      <c r="BE20" s="7">
        <v>4.56</v>
      </c>
      <c r="BF20" s="7">
        <v>17.52</v>
      </c>
      <c r="BG20" t="inlineStr">
        <is>
          <t>總經面 +2.76%（P漲 39%／P跌 28% → 持平）、產業鏈面 無訊號、歷史類比面 +5.70%（P漲 45%／P跌 23% → 漲）、位階面 +2.80%（P漲 39%／P跌 28% → 持平）；持平帶 ±8.37%（σ_h 19.47%×0.43），各面假設實際報酬是以預估值為中心、σ_h 為標準差的常態。投票 漲 1、持平 2，綜合判斷持平（2／3 面同向）；綜合機率 P漲 41%／P跌 27%（3 面平均）→ 漲。幅度推演：預測報酬 +2.75%（P漲 39%／P跌 28% → 持平），80% 結果區間 -16.58～+20.90%。</t>
        </is>
      </c>
      <c r="BH20" t="inlineStr">
        <is>
          <t>未到期</t>
        </is>
      </c>
    </row>
    <row r="21">
      <c r="A21" t="inlineStr">
        <is>
          <t>SC-2026-09-c_natgas-H3</t>
        </is>
      </c>
      <c r="B21" t="inlineStr">
        <is>
          <t>SC-2026-09</t>
        </is>
      </c>
      <c r="C21" t="inlineStr">
        <is>
          <t>2026-10-12</t>
        </is>
      </c>
      <c r="D21" t="inlineStr">
        <is>
          <t>2026-09</t>
        </is>
      </c>
      <c r="E21" t="inlineStr">
        <is>
          <t>2026-09</t>
        </is>
      </c>
      <c r="F21" s="8">
        <v>3</v>
      </c>
      <c r="G21" t="inlineStr">
        <is>
          <t>2027-01</t>
        </is>
      </c>
      <c r="H21" t="inlineStr">
        <is>
          <t>美國天然氣</t>
        </is>
      </c>
      <c r="I21" t="inlineStr">
        <is>
          <t>c_natgas</t>
        </is>
      </c>
      <c r="J21" s="7">
        <v>0.47</v>
      </c>
      <c r="K21" s="7">
        <v>27.18</v>
      </c>
      <c r="L21" s="8">
        <v>377</v>
      </c>
      <c r="M21" s="7">
        <v>11.69</v>
      </c>
      <c r="N21" s="7">
        <v>2.38</v>
      </c>
      <c r="O21" s="7">
        <v>36.6</v>
      </c>
      <c r="P21" s="7">
        <v>33.17</v>
      </c>
      <c r="Q21" s="7">
        <v>30.23</v>
      </c>
      <c r="R21" t="inlineStr">
        <is>
          <t>持平</t>
        </is>
      </c>
      <c r="S21" t="inlineStr">
        <is>
          <t>校準後：平常 +0.47% ＋ 模型超額 +1.91%</t>
        </is>
      </c>
      <c r="U21" t="inlineStr">
        <is>
          <t>無訊號</t>
        </is>
      </c>
      <c r="AA21" s="7">
        <v>6.2</v>
      </c>
      <c r="AB21" s="7">
        <v>42.0</v>
      </c>
      <c r="AC21" s="7">
        <v>32.48</v>
      </c>
      <c r="AD21" s="7">
        <v>25.52</v>
      </c>
      <c r="AE21" t="inlineStr">
        <is>
          <t>漲</t>
        </is>
      </c>
      <c r="AF21" t="inlineStr">
        <is>
          <t>相似時點 12 段（25 個月）之後 3 個月的中位報酬</t>
        </is>
      </c>
      <c r="AG21" s="7">
        <v>-13.0</v>
      </c>
      <c r="AH21" s="7">
        <v>18.18</v>
      </c>
      <c r="AI21" s="7">
        <v>29.9</v>
      </c>
      <c r="AJ21" s="7">
        <v>51.92</v>
      </c>
      <c r="AK21" t="inlineStr">
        <is>
          <t>跌</t>
        </is>
      </c>
      <c r="AL21" t="inlineStr">
        <is>
          <t>10 年位階 55.0%（40～60%），這一組歷史 12 段之後 6 個月的中位報酬（3 個月沿用 6 個月的表）</t>
        </is>
      </c>
      <c r="AM21" t="inlineStr">
        <is>
          <t>持平</t>
        </is>
      </c>
      <c r="AN21" s="8">
        <v>1</v>
      </c>
      <c r="AO21" s="8">
        <v>1</v>
      </c>
      <c r="AP21" s="8">
        <v>1</v>
      </c>
      <c r="AQ21" t="inlineStr">
        <is>
          <t>平手（漲 1、持平 1、跌 1）</t>
        </is>
      </c>
      <c r="AR21" s="7">
        <v>32.26</v>
      </c>
      <c r="AS21" s="7">
        <v>31.85</v>
      </c>
      <c r="AT21" s="7">
        <v>35.89</v>
      </c>
      <c r="AU21" s="8">
        <v>3</v>
      </c>
      <c r="AV21" t="inlineStr">
        <is>
          <t>持平</t>
        </is>
      </c>
      <c r="AW21" s="7">
        <v>2.67</v>
      </c>
      <c r="AX21" t="inlineStr">
        <is>
          <t>校準後集成</t>
        </is>
      </c>
      <c r="AY21" s="7">
        <v>37.0</v>
      </c>
      <c r="AZ21" s="7">
        <v>33.14</v>
      </c>
      <c r="BA21" s="7">
        <v>29.86</v>
      </c>
      <c r="BB21" t="inlineStr">
        <is>
          <t>持平</t>
        </is>
      </c>
      <c r="BC21" s="7">
        <v>-29.41</v>
      </c>
      <c r="BD21" s="7">
        <v>34.75</v>
      </c>
      <c r="BE21" s="7">
        <v>2.23</v>
      </c>
      <c r="BF21" s="7">
        <v>23.61</v>
      </c>
      <c r="BG21" t="inlineStr">
        <is>
          <t>總經面 +2.38%（P漲 37%／P跌 30% → 持平）、產業鏈面 無訊號、歷史類比面 +6.20%（P漲 42%／P跌 26% → 漲）、位階面 -13.00%（P漲 18%／P跌 52% → 跌）；持平帶 ±11.69%（σ_h 27.18%×0.43），各面假設實際報酬是以預估值為中心、σ_h 為標準差的常態。投票 漲 1、持平 1、跌 1 平手，綜合記為持平；綜合機率 P漲 32%／P跌 36%（3 面平均）→ 持平。幅度推演：預測報酬 +2.67%（P漲 37%／P跌 30% → 持平），80% 結果區間 -29.41～+34.75%。</t>
        </is>
      </c>
      <c r="BH21" t="inlineStr">
        <is>
          <t>未到期</t>
        </is>
      </c>
    </row>
    <row r="22">
      <c r="A22" t="inlineStr">
        <is>
          <t>SC-2026-09-c_maize-H3</t>
        </is>
      </c>
      <c r="B22" t="inlineStr">
        <is>
          <t>SC-2026-09</t>
        </is>
      </c>
      <c r="C22" t="inlineStr">
        <is>
          <t>2026-10-12</t>
        </is>
      </c>
      <c r="D22" t="inlineStr">
        <is>
          <t>2026-09</t>
        </is>
      </c>
      <c r="E22" t="inlineStr">
        <is>
          <t>2026-09</t>
        </is>
      </c>
      <c r="F22" s="8">
        <v>3</v>
      </c>
      <c r="G22" t="inlineStr">
        <is>
          <t>2027-01</t>
        </is>
      </c>
      <c r="H22" t="inlineStr">
        <is>
          <t>玉米</t>
        </is>
      </c>
      <c r="I22" t="inlineStr">
        <is>
          <t>c_maize</t>
        </is>
      </c>
      <c r="J22" s="7">
        <v>0.58</v>
      </c>
      <c r="K22" s="7">
        <v>12.37</v>
      </c>
      <c r="L22" s="8">
        <v>377</v>
      </c>
      <c r="M22" s="7">
        <v>5.32</v>
      </c>
      <c r="N22" s="7">
        <v>1.26</v>
      </c>
      <c r="O22" s="7">
        <v>37.14</v>
      </c>
      <c r="P22" s="7">
        <v>33.12</v>
      </c>
      <c r="Q22" s="7">
        <v>29.74</v>
      </c>
      <c r="R22" t="inlineStr">
        <is>
          <t>持平</t>
        </is>
      </c>
      <c r="S22" t="inlineStr">
        <is>
          <t>校準後：平常 +0.58% ＋ 模型超額 +0.68%</t>
        </is>
      </c>
      <c r="U22" t="inlineStr">
        <is>
          <t>無訊號</t>
        </is>
      </c>
      <c r="AA22" s="7">
        <v>0.01</v>
      </c>
      <c r="AB22" s="7">
        <v>33.39</v>
      </c>
      <c r="AC22" s="7">
        <v>33.28</v>
      </c>
      <c r="AD22" s="7">
        <v>33.33</v>
      </c>
      <c r="AE22" t="inlineStr">
        <is>
          <t>持平</t>
        </is>
      </c>
      <c r="AF22" t="inlineStr">
        <is>
          <t>沒有確切標的資料：平常 +0.58% ＋ 相似時點中位超額 -0.57%</t>
        </is>
      </c>
      <c r="AK22" t="inlineStr">
        <is>
          <t>無訊號</t>
        </is>
      </c>
      <c r="AL22" t="inlineStr">
        <is>
          <t>沒有位階資料</t>
        </is>
      </c>
      <c r="AM22" t="inlineStr">
        <is>
          <t>持平</t>
        </is>
      </c>
      <c r="AN22" s="8">
        <v>0</v>
      </c>
      <c r="AO22" s="8">
        <v>2</v>
      </c>
      <c r="AP22" s="8">
        <v>0</v>
      </c>
      <c r="AQ22" t="inlineStr">
        <is>
          <t>2／2 面同向</t>
        </is>
      </c>
      <c r="AR22" s="7">
        <v>35.27</v>
      </c>
      <c r="AS22" s="7">
        <v>33.2</v>
      </c>
      <c r="AT22" s="7">
        <v>31.53</v>
      </c>
      <c r="AU22" s="8">
        <v>2</v>
      </c>
      <c r="AV22" t="inlineStr">
        <is>
          <t>持平</t>
        </is>
      </c>
      <c r="AW22" s="7">
        <v>1.04</v>
      </c>
      <c r="AX22" t="inlineStr">
        <is>
          <t>校準後集成</t>
        </is>
      </c>
      <c r="AY22" s="7">
        <v>36.47</v>
      </c>
      <c r="AZ22" s="7">
        <v>33.17</v>
      </c>
      <c r="BA22" s="7">
        <v>30.36</v>
      </c>
      <c r="BB22" t="inlineStr">
        <is>
          <t>持平</t>
        </is>
      </c>
      <c r="BC22" s="7">
        <v>-13.49</v>
      </c>
      <c r="BD22" s="7">
        <v>16.58</v>
      </c>
      <c r="BE22" s="7">
        <v>0.54</v>
      </c>
      <c r="BF22" s="7">
        <v>8.02</v>
      </c>
      <c r="BG22" t="inlineStr">
        <is>
          <t>總經面 +1.26%（P漲 37%／P跌 30% → 持平）、產業鏈面 無訊號、歷史類比面 +0.01%（P漲 33%／P跌 33% → 持平）、位階面 無訊號；持平帶 ±5.32%（σ_h 12.37%×0.43），各面假設實際報酬是以預估值為中心、σ_h 為標準差的常態。投票 持平 2，綜合判斷持平（2／2 面同向）；綜合機率 P漲 35%／P跌 32%（2 面平均）→ 持平。幅度推演：預測報酬 +1.04%（P漲 36%／P跌 30% → 持平），80% 結果區間 -13.49～+16.58%。</t>
        </is>
      </c>
      <c r="BH22" t="inlineStr">
        <is>
          <t>未到期</t>
        </is>
      </c>
    </row>
    <row r="23">
      <c r="A23" t="inlineStr">
        <is>
          <t>SC-2026-09-c_soy-H3</t>
        </is>
      </c>
      <c r="B23" t="inlineStr">
        <is>
          <t>SC-2026-09</t>
        </is>
      </c>
      <c r="C23" t="inlineStr">
        <is>
          <t>2026-10-12</t>
        </is>
      </c>
      <c r="D23" t="inlineStr">
        <is>
          <t>2026-09</t>
        </is>
      </c>
      <c r="E23" t="inlineStr">
        <is>
          <t>2026-09</t>
        </is>
      </c>
      <c r="F23" s="8">
        <v>3</v>
      </c>
      <c r="G23" t="inlineStr">
        <is>
          <t>2027-01</t>
        </is>
      </c>
      <c r="H23" t="inlineStr">
        <is>
          <t>大豆</t>
        </is>
      </c>
      <c r="I23" t="inlineStr">
        <is>
          <t>c_soy</t>
        </is>
      </c>
      <c r="J23" s="7">
        <v>0.56</v>
      </c>
      <c r="K23" s="7">
        <v>10.19</v>
      </c>
      <c r="L23" s="8">
        <v>377</v>
      </c>
      <c r="M23" s="7">
        <v>4.38</v>
      </c>
      <c r="N23" s="7">
        <v>0.28</v>
      </c>
      <c r="O23" s="7">
        <v>34.37</v>
      </c>
      <c r="P23" s="7">
        <v>33.26</v>
      </c>
      <c r="Q23" s="7">
        <v>32.37</v>
      </c>
      <c r="R23" t="inlineStr">
        <is>
          <t>持平</t>
        </is>
      </c>
      <c r="S23" t="inlineStr">
        <is>
          <t>校準後：平常 +0.56% ＋ 模型超額 -0.28%</t>
        </is>
      </c>
      <c r="U23" t="inlineStr">
        <is>
          <t>無訊號</t>
        </is>
      </c>
      <c r="AA23" s="7">
        <v>0.54</v>
      </c>
      <c r="AB23" s="7">
        <v>35.31</v>
      </c>
      <c r="AC23" s="7">
        <v>33.23</v>
      </c>
      <c r="AD23" s="7">
        <v>31.46</v>
      </c>
      <c r="AE23" t="inlineStr">
        <is>
          <t>持平</t>
        </is>
      </c>
      <c r="AF23" t="inlineStr">
        <is>
          <t>沒有確切標的資料：平常 +0.56% ＋ 相似時點中位超額 -0.02%</t>
        </is>
      </c>
      <c r="AK23" t="inlineStr">
        <is>
          <t>無訊號</t>
        </is>
      </c>
      <c r="AL23" t="inlineStr">
        <is>
          <t>沒有位階資料</t>
        </is>
      </c>
      <c r="AM23" t="inlineStr">
        <is>
          <t>持平</t>
        </is>
      </c>
      <c r="AN23" s="8">
        <v>0</v>
      </c>
      <c r="AO23" s="8">
        <v>2</v>
      </c>
      <c r="AP23" s="8">
        <v>0</v>
      </c>
      <c r="AQ23" t="inlineStr">
        <is>
          <t>2／2 面同向</t>
        </is>
      </c>
      <c r="AR23" s="7">
        <v>34.84</v>
      </c>
      <c r="AS23" s="7">
        <v>33.24</v>
      </c>
      <c r="AT23" s="7">
        <v>31.91</v>
      </c>
      <c r="AU23" s="8">
        <v>2</v>
      </c>
      <c r="AV23" t="inlineStr">
        <is>
          <t>持平</t>
        </is>
      </c>
      <c r="AW23" s="7">
        <v>0.34</v>
      </c>
      <c r="AX23" t="inlineStr">
        <is>
          <t>校準後集成</t>
        </is>
      </c>
      <c r="AY23" s="7">
        <v>34.59</v>
      </c>
      <c r="AZ23" s="7">
        <v>33.25</v>
      </c>
      <c r="BA23" s="7">
        <v>32.16</v>
      </c>
      <c r="BB23" t="inlineStr">
        <is>
          <t>持平</t>
        </is>
      </c>
      <c r="BC23" s="7">
        <v>-11.64</v>
      </c>
      <c r="BD23" s="7">
        <v>13.33</v>
      </c>
      <c r="BE23" s="7">
        <v>-4.21</v>
      </c>
      <c r="BF23" s="7">
        <v>1.51</v>
      </c>
      <c r="BG23" t="inlineStr">
        <is>
          <t>總經面 +0.28%（P漲 34%／P跌 32% → 持平）、產業鏈面 無訊號、歷史類比面 +0.54%（P漲 35%／P跌 31% → 持平）、位階面 無訊號；持平帶 ±4.38%（σ_h 10.19%×0.43），各面假設實際報酬是以預估值為中心、σ_h 為標準差的常態。投票 持平 2，綜合判斷持平（2／2 面同向）；綜合機率 P漲 35%／P跌 32%（2 面平均）→ 持平。幅度推演：預測報酬 +0.34%（P漲 35%／P跌 32% → 持平），80% 結果區間 -11.64～+13.33%。</t>
        </is>
      </c>
      <c r="BH23" t="inlineStr">
        <is>
          <t>未到期</t>
        </is>
      </c>
    </row>
    <row r="24">
      <c r="A24" t="inlineStr">
        <is>
          <t>SC-2026-09-c_wheat-H3</t>
        </is>
      </c>
      <c r="B24" t="inlineStr">
        <is>
          <t>SC-2026-09</t>
        </is>
      </c>
      <c r="C24" t="inlineStr">
        <is>
          <t>2026-10-12</t>
        </is>
      </c>
      <c r="D24" t="inlineStr">
        <is>
          <t>2026-09</t>
        </is>
      </c>
      <c r="E24" t="inlineStr">
        <is>
          <t>2026-09</t>
        </is>
      </c>
      <c r="F24" s="8">
        <v>3</v>
      </c>
      <c r="G24" t="inlineStr">
        <is>
          <t>2027-01</t>
        </is>
      </c>
      <c r="H24" t="inlineStr">
        <is>
          <t>小麥</t>
        </is>
      </c>
      <c r="I24" t="inlineStr">
        <is>
          <t>c_wheat</t>
        </is>
      </c>
      <c r="J24" s="7">
        <v>0.62</v>
      </c>
      <c r="K24" s="7">
        <v>12.38</v>
      </c>
      <c r="L24" s="8">
        <v>377</v>
      </c>
      <c r="M24" s="7">
        <v>5.32</v>
      </c>
      <c r="N24" s="7">
        <v>1.11</v>
      </c>
      <c r="O24" s="7">
        <v>36.69</v>
      </c>
      <c r="P24" s="7">
        <v>33.14</v>
      </c>
      <c r="Q24" s="7">
        <v>30.17</v>
      </c>
      <c r="R24" t="inlineStr">
        <is>
          <t>持平</t>
        </is>
      </c>
      <c r="S24" t="inlineStr">
        <is>
          <t>校準後：平常 +0.62% ＋ 模型超額 +0.49%</t>
        </is>
      </c>
      <c r="U24" t="inlineStr">
        <is>
          <t>無訊號</t>
        </is>
      </c>
      <c r="AA24" s="7">
        <v>0.65</v>
      </c>
      <c r="AB24" s="7">
        <v>35.3</v>
      </c>
      <c r="AC24" s="7">
        <v>33.22</v>
      </c>
      <c r="AD24" s="7">
        <v>31.48</v>
      </c>
      <c r="AE24" t="inlineStr">
        <is>
          <t>持平</t>
        </is>
      </c>
      <c r="AF24" t="inlineStr">
        <is>
          <t>沒有確切標的資料：平常 +0.62% ＋ 相似時點中位超額 +0.03%</t>
        </is>
      </c>
      <c r="AK24" t="inlineStr">
        <is>
          <t>無訊號</t>
        </is>
      </c>
      <c r="AL24" t="inlineStr">
        <is>
          <t>沒有位階資料</t>
        </is>
      </c>
      <c r="AM24" t="inlineStr">
        <is>
          <t>持平</t>
        </is>
      </c>
      <c r="AN24" s="8">
        <v>0</v>
      </c>
      <c r="AO24" s="8">
        <v>2</v>
      </c>
      <c r="AP24" s="8">
        <v>0</v>
      </c>
      <c r="AQ24" t="inlineStr">
        <is>
          <t>2／2 面同向</t>
        </is>
      </c>
      <c r="AR24" s="7">
        <v>35.99</v>
      </c>
      <c r="AS24" s="7">
        <v>33.18</v>
      </c>
      <c r="AT24" s="7">
        <v>30.83</v>
      </c>
      <c r="AU24" s="8">
        <v>2</v>
      </c>
      <c r="AV24" t="inlineStr">
        <is>
          <t>持平</t>
        </is>
      </c>
      <c r="AW24" s="7">
        <v>1.01</v>
      </c>
      <c r="AX24" t="inlineStr">
        <is>
          <t>校準後集成</t>
        </is>
      </c>
      <c r="AY24" s="7">
        <v>36.39</v>
      </c>
      <c r="AZ24" s="7">
        <v>33.15</v>
      </c>
      <c r="BA24" s="7">
        <v>30.46</v>
      </c>
      <c r="BB24" t="inlineStr">
        <is>
          <t>持平</t>
        </is>
      </c>
      <c r="BC24" s="7">
        <v>-13.72</v>
      </c>
      <c r="BD24" s="7">
        <v>16.28</v>
      </c>
      <c r="BE24" s="7">
        <v>0.05</v>
      </c>
      <c r="BF24" s="7">
        <v>7.17</v>
      </c>
      <c r="BG24" t="inlineStr">
        <is>
          <t>總經面 +1.11%（P漲 37%／P跌 30% → 持平）、產業鏈面 無訊號、歷史類比面 +0.65%（P漲 35%／P跌 31% → 持平）、位階面 無訊號；持平帶 ±5.32%（σ_h 12.38%×0.43），各面假設實際報酬是以預估值為中心、σ_h 為標準差的常態。投票 持平 2，綜合判斷持平（2／2 面同向）；綜合機率 P漲 36%／P跌 31%（2 面平均）→ 持平。幅度推演：預測報酬 +1.01%（P漲 36%／P跌 30% → 持平），80% 結果區間 -13.72～+16.28%。</t>
        </is>
      </c>
      <c r="BH24" t="inlineStr">
        <is>
          <t>未到期</t>
        </is>
      </c>
    </row>
    <row r="25">
      <c r="A25" t="inlineStr">
        <is>
          <t>SC-2026-09-ci_energy-H3</t>
        </is>
      </c>
      <c r="B25" t="inlineStr">
        <is>
          <t>SC-2026-09</t>
        </is>
      </c>
      <c r="C25" t="inlineStr">
        <is>
          <t>2026-10-12</t>
        </is>
      </c>
      <c r="D25" t="inlineStr">
        <is>
          <t>2026-09</t>
        </is>
      </c>
      <c r="E25" t="inlineStr">
        <is>
          <t>2026-09</t>
        </is>
      </c>
      <c r="F25" s="8">
        <v>3</v>
      </c>
      <c r="G25" t="inlineStr">
        <is>
          <t>2027-01</t>
        </is>
      </c>
      <c r="H25" t="inlineStr">
        <is>
          <t>能源指數</t>
        </is>
      </c>
      <c r="I25" t="inlineStr">
        <is>
          <t>ci_energy</t>
        </is>
      </c>
      <c r="J25" s="7">
        <v>1.3</v>
      </c>
      <c r="K25" s="7">
        <v>16.96</v>
      </c>
      <c r="L25" s="8">
        <v>377</v>
      </c>
      <c r="M25" s="7">
        <v>7.29</v>
      </c>
      <c r="N25" s="7">
        <v>2.65</v>
      </c>
      <c r="O25" s="7">
        <v>39.22</v>
      </c>
      <c r="P25" s="7">
        <v>32.89</v>
      </c>
      <c r="Q25" s="7">
        <v>27.89</v>
      </c>
      <c r="R25" t="inlineStr">
        <is>
          <t>持平</t>
        </is>
      </c>
      <c r="S25" t="inlineStr">
        <is>
          <t>校準後：平常 +1.30% ＋ 模型超額 +1.35%</t>
        </is>
      </c>
      <c r="U25" t="inlineStr">
        <is>
          <t>無訊號</t>
        </is>
      </c>
      <c r="AA25" s="7">
        <v>4.37</v>
      </c>
      <c r="AB25" s="7">
        <v>43.17</v>
      </c>
      <c r="AC25" s="7">
        <v>32.24</v>
      </c>
      <c r="AD25" s="7">
        <v>24.59</v>
      </c>
      <c r="AE25" t="inlineStr">
        <is>
          <t>漲</t>
        </is>
      </c>
      <c r="AF25" t="inlineStr">
        <is>
          <t>沒有確切標的資料：平常 +1.30% ＋ 相似時點中位超額 +3.07%</t>
        </is>
      </c>
      <c r="AK25" t="inlineStr">
        <is>
          <t>無訊號</t>
        </is>
      </c>
      <c r="AL25" t="inlineStr">
        <is>
          <t>沒有位階資料</t>
        </is>
      </c>
      <c r="AM25" t="inlineStr">
        <is>
          <t>持平</t>
        </is>
      </c>
      <c r="AN25" s="8">
        <v>1</v>
      </c>
      <c r="AO25" s="8">
        <v>1</v>
      </c>
      <c r="AP25" s="8">
        <v>0</v>
      </c>
      <c r="AQ25" t="inlineStr">
        <is>
          <t>平手（漲 1、持平 1）</t>
        </is>
      </c>
      <c r="AR25" s="7">
        <v>41.2</v>
      </c>
      <c r="AS25" s="7">
        <v>32.56</v>
      </c>
      <c r="AT25" s="7">
        <v>26.24</v>
      </c>
      <c r="AU25" s="8">
        <v>2</v>
      </c>
      <c r="AV25" t="inlineStr">
        <is>
          <t>漲</t>
        </is>
      </c>
      <c r="AW25" s="7">
        <v>2.74</v>
      </c>
      <c r="AX25" t="inlineStr">
        <is>
          <t>校準後集成</t>
        </is>
      </c>
      <c r="AY25" s="7">
        <v>39.42</v>
      </c>
      <c r="AZ25" s="7">
        <v>32.87</v>
      </c>
      <c r="BA25" s="7">
        <v>27.71</v>
      </c>
      <c r="BB25" t="inlineStr">
        <is>
          <t>持平</t>
        </is>
      </c>
      <c r="BC25" s="7">
        <v>-16.5</v>
      </c>
      <c r="BD25" s="7">
        <v>20.98</v>
      </c>
      <c r="BE25" s="7">
        <v>3.83</v>
      </c>
      <c r="BF25" s="7">
        <v>14.5</v>
      </c>
      <c r="BG25" t="inlineStr">
        <is>
          <t>總經面 +2.65%（P漲 39%／P跌 28% → 持平）、產業鏈面 無訊號、歷史類比面 +4.37%（P漲 43%／P跌 25% → 漲）、位階面 無訊號；持平帶 ±7.29%（σ_h 16.96%×0.43），各面假設實際報酬是以預估值為中心、σ_h 為標準差的常態。投票 漲 1、持平 1 平手，綜合記為持平；綜合機率 P漲 41%／P跌 26%（2 面平均）→ 漲。幅度推演：預測報酬 +2.74%（P漲 39%／P跌 28% → 持平），80% 結果區間 -16.50～+20.98%。</t>
        </is>
      </c>
      <c r="BH25" t="inlineStr">
        <is>
          <t>未到期</t>
        </is>
      </c>
    </row>
    <row r="26">
      <c r="A26" t="inlineStr">
        <is>
          <t>SC-2026-09-ci_agri-H3</t>
        </is>
      </c>
      <c r="B26" t="inlineStr">
        <is>
          <t>SC-2026-09</t>
        </is>
      </c>
      <c r="C26" t="inlineStr">
        <is>
          <t>2026-10-12</t>
        </is>
      </c>
      <c r="D26" t="inlineStr">
        <is>
          <t>2026-09</t>
        </is>
      </c>
      <c r="E26" t="inlineStr">
        <is>
          <t>2026-09</t>
        </is>
      </c>
      <c r="F26" s="8">
        <v>3</v>
      </c>
      <c r="G26" t="inlineStr">
        <is>
          <t>2027-01</t>
        </is>
      </c>
      <c r="H26" t="inlineStr">
        <is>
          <t>農產品指數</t>
        </is>
      </c>
      <c r="I26" t="inlineStr">
        <is>
          <t>ci_agri</t>
        </is>
      </c>
      <c r="J26" s="7">
        <v>0.46</v>
      </c>
      <c r="K26" s="7">
        <v>5.5</v>
      </c>
      <c r="L26" s="8">
        <v>377</v>
      </c>
      <c r="M26" s="7">
        <v>2.36</v>
      </c>
      <c r="N26" s="7">
        <v>0.72</v>
      </c>
      <c r="O26" s="7">
        <v>38.28</v>
      </c>
      <c r="P26" s="7">
        <v>32.95</v>
      </c>
      <c r="Q26" s="7">
        <v>28.77</v>
      </c>
      <c r="R26" t="inlineStr">
        <is>
          <t>持平</t>
        </is>
      </c>
      <c r="S26" t="inlineStr">
        <is>
          <t>校準後：平常 +0.46% ＋ 模型超額 +0.26%</t>
        </is>
      </c>
      <c r="T26" s="7">
        <v>7.0</v>
      </c>
      <c r="U26" t="inlineStr">
        <is>
          <t>漲</t>
        </is>
      </c>
      <c r="V26" t="inlineStr">
        <is>
          <t>肥料到糧價</t>
        </is>
      </c>
      <c r="W26" t="inlineStr">
        <is>
          <t>農產品上漲</t>
        </is>
      </c>
      <c r="X26" t="inlineStr">
        <is>
          <t>fertilizer_agri</t>
        </is>
      </c>
      <c r="Y26" s="7">
        <v>32.0</v>
      </c>
      <c r="Z26" s="7">
        <v>25.0</v>
      </c>
      <c r="AA26" s="7">
        <v>-0.6</v>
      </c>
      <c r="AB26" s="7">
        <v>29.52</v>
      </c>
      <c r="AC26" s="7">
        <v>33.03</v>
      </c>
      <c r="AD26" s="7">
        <v>37.45</v>
      </c>
      <c r="AE26" t="inlineStr">
        <is>
          <t>持平</t>
        </is>
      </c>
      <c r="AF26" t="inlineStr">
        <is>
          <t>相似時點 12 段（25 個月）之後 3 個月的中位報酬</t>
        </is>
      </c>
      <c r="AK26" t="inlineStr">
        <is>
          <t>無訊號</t>
        </is>
      </c>
      <c r="AL26" t="inlineStr">
        <is>
          <t>10 年位階 94.0%（最高 20%）這一組只有 2 段（少於 3 段）</t>
        </is>
      </c>
      <c r="AM26" t="inlineStr">
        <is>
          <t>持平</t>
        </is>
      </c>
      <c r="AN26" s="8">
        <v>1</v>
      </c>
      <c r="AO26" s="8">
        <v>2</v>
      </c>
      <c r="AP26" s="8">
        <v>0</v>
      </c>
      <c r="AQ26" t="inlineStr">
        <is>
          <t>2／3 面同向</t>
        </is>
      </c>
      <c r="AR26" s="7">
        <v>33.9</v>
      </c>
      <c r="AS26" s="7">
        <v>32.99</v>
      </c>
      <c r="AT26" s="7">
        <v>33.11</v>
      </c>
      <c r="AU26" s="8">
        <v>2</v>
      </c>
      <c r="AV26" t="inlineStr">
        <is>
          <t>持平</t>
        </is>
      </c>
      <c r="AW26" s="7">
        <v>0.6</v>
      </c>
      <c r="AX26" t="inlineStr">
        <is>
          <t>校準後集成</t>
        </is>
      </c>
      <c r="AY26" s="7">
        <v>37.45</v>
      </c>
      <c r="AZ26" s="7">
        <v>33.03</v>
      </c>
      <c r="BA26" s="7">
        <v>29.52</v>
      </c>
      <c r="BB26" t="inlineStr">
        <is>
          <t>持平</t>
        </is>
      </c>
      <c r="BC26" s="7">
        <v>-5.1</v>
      </c>
      <c r="BD26" s="7">
        <v>7.5</v>
      </c>
      <c r="BE26" s="7">
        <v>0.41</v>
      </c>
      <c r="BF26" s="7">
        <v>3.43</v>
      </c>
      <c r="BG26" t="inlineStr">
        <is>
          <t>總經面 +0.72%（P漲 38%／P跌 29% → 持平）、產業鏈面「農產品上漲」機率 32%、平常 25%（漲）、歷史類比面 -0.60%（P漲 30%／P跌 37% → 持平）、位階面 無訊號；持平帶 ±2.36%（σ_h 5.50%×0.43），各面假設實際報酬是以預估值為中心、σ_h 為標準差的常態。投票 漲 1、持平 2，綜合判斷持平（2／3 面同向）；綜合機率 P漲 34%／P跌 33%（2 面平均）→ 持平。幅度推演：預測報酬 +0.60%（P漲 37%／P跌 30% → 持平），80% 結果區間 -5.10～+7.50%。</t>
        </is>
      </c>
      <c r="BH26" t="inlineStr">
        <is>
          <t>未到期</t>
        </is>
      </c>
    </row>
    <row r="27">
      <c r="A27" t="inlineStr">
        <is>
          <t>SC-2026-09-ci_metals-H3</t>
        </is>
      </c>
      <c r="B27" t="inlineStr">
        <is>
          <t>SC-2026-09</t>
        </is>
      </c>
      <c r="C27" t="inlineStr">
        <is>
          <t>2026-10-12</t>
        </is>
      </c>
      <c r="D27" t="inlineStr">
        <is>
          <t>2026-09</t>
        </is>
      </c>
      <c r="E27" t="inlineStr">
        <is>
          <t>2026-09</t>
        </is>
      </c>
      <c r="F27" s="8">
        <v>3</v>
      </c>
      <c r="G27" t="inlineStr">
        <is>
          <t>2027-01</t>
        </is>
      </c>
      <c r="H27" t="inlineStr">
        <is>
          <t>金屬與礦產指數</t>
        </is>
      </c>
      <c r="I27" t="inlineStr">
        <is>
          <t>ci_metals</t>
        </is>
      </c>
      <c r="J27" s="7">
        <v>0.89</v>
      </c>
      <c r="K27" s="7">
        <v>10.52</v>
      </c>
      <c r="L27" s="8">
        <v>377</v>
      </c>
      <c r="M27" s="7">
        <v>4.52</v>
      </c>
      <c r="N27" s="7">
        <v>1.41</v>
      </c>
      <c r="O27" s="7">
        <v>38.38</v>
      </c>
      <c r="P27" s="7">
        <v>32.97</v>
      </c>
      <c r="Q27" s="7">
        <v>28.65</v>
      </c>
      <c r="R27" t="inlineStr">
        <is>
          <t>持平</t>
        </is>
      </c>
      <c r="S27" t="inlineStr">
        <is>
          <t>校準後：平常 +0.89% ＋ 模型超額 +0.52%</t>
        </is>
      </c>
      <c r="T27" s="7">
        <v>12.0</v>
      </c>
      <c r="U27" t="inlineStr">
        <is>
          <t>跌</t>
        </is>
      </c>
      <c r="V27" t="inlineStr">
        <is>
          <t>跨鏈下一波</t>
        </is>
      </c>
      <c r="W27" t="inlineStr">
        <is>
          <t>金屬價格下跌</t>
        </is>
      </c>
      <c r="X27" t="inlineStr">
        <is>
          <t>china_metals</t>
        </is>
      </c>
      <c r="Y27" s="7">
        <v>77.0</v>
      </c>
      <c r="Z27" s="7">
        <v>65.0</v>
      </c>
      <c r="AA27" s="7">
        <v>2.06</v>
      </c>
      <c r="AB27" s="7">
        <v>40.76</v>
      </c>
      <c r="AC27" s="7">
        <v>32.66</v>
      </c>
      <c r="AD27" s="7">
        <v>26.58</v>
      </c>
      <c r="AE27" t="inlineStr">
        <is>
          <t>漲</t>
        </is>
      </c>
      <c r="AF27" t="inlineStr">
        <is>
          <t>沒有確切標的資料：平常 +0.89% ＋ 相似時點中位超額 +1.17%</t>
        </is>
      </c>
      <c r="AK27" t="inlineStr">
        <is>
          <t>無訊號</t>
        </is>
      </c>
      <c r="AL27" t="inlineStr">
        <is>
          <t>沒有位階資料</t>
        </is>
      </c>
      <c r="AM27" t="inlineStr">
        <is>
          <t>持平</t>
        </is>
      </c>
      <c r="AN27" s="8">
        <v>1</v>
      </c>
      <c r="AO27" s="8">
        <v>1</v>
      </c>
      <c r="AP27" s="8">
        <v>1</v>
      </c>
      <c r="AQ27" t="inlineStr">
        <is>
          <t>平手（漲 1、持平 1、跌 1）</t>
        </is>
      </c>
      <c r="AR27" s="7">
        <v>39.57</v>
      </c>
      <c r="AS27" s="7">
        <v>32.81</v>
      </c>
      <c r="AT27" s="7">
        <v>27.61</v>
      </c>
      <c r="AU27" s="8">
        <v>2</v>
      </c>
      <c r="AV27" t="inlineStr">
        <is>
          <t>持平</t>
        </is>
      </c>
      <c r="AW27" s="7">
        <v>1.44</v>
      </c>
      <c r="AX27" t="inlineStr">
        <is>
          <t>校準後集成</t>
        </is>
      </c>
      <c r="AY27" s="7">
        <v>38.48</v>
      </c>
      <c r="AZ27" s="7">
        <v>32.97</v>
      </c>
      <c r="BA27" s="7">
        <v>28.55</v>
      </c>
      <c r="BB27" t="inlineStr">
        <is>
          <t>持平</t>
        </is>
      </c>
      <c r="BC27" s="7">
        <v>-9.4</v>
      </c>
      <c r="BD27" s="7">
        <v>14.67</v>
      </c>
      <c r="BE27" s="7">
        <v>1.01</v>
      </c>
      <c r="BF27" s="7">
        <v>6.82</v>
      </c>
      <c r="BG27" t="inlineStr">
        <is>
          <t>總經面 +1.41%（P漲 38%／P跌 29% → 持平）、產業鏈面「金屬價格下跌」機率 77%、平常 65%（跌）、歷史類比面 +2.06%（P漲 41%／P跌 27% → 漲）、位階面 無訊號；持平帶 ±4.52%（σ_h 10.52%×0.43），各面假設實際報酬是以預估值為中心、σ_h 為標準差的常態。投票 漲 1、持平 1、跌 1 平手，綜合記為持平；綜合機率 P漲 40%／P跌 28%（2 面平均）→ 持平。幅度推演：預測報酬 +1.44%（P漲 38%／P跌 29% → 持平），80% 結果區間 -9.40～+14.67%。</t>
        </is>
      </c>
      <c r="BH27" t="inlineStr">
        <is>
          <t>未到期</t>
        </is>
      </c>
    </row>
    <row r="28">
      <c r="A28" t="inlineStr">
        <is>
          <t>SC-2026-09-ci_precious-H3</t>
        </is>
      </c>
      <c r="B28" t="inlineStr">
        <is>
          <t>SC-2026-09</t>
        </is>
      </c>
      <c r="C28" t="inlineStr">
        <is>
          <t>2026-10-12</t>
        </is>
      </c>
      <c r="D28" t="inlineStr">
        <is>
          <t>2026-09</t>
        </is>
      </c>
      <c r="E28" t="inlineStr">
        <is>
          <t>2026-09</t>
        </is>
      </c>
      <c r="F28" s="8">
        <v>3</v>
      </c>
      <c r="G28" t="inlineStr">
        <is>
          <t>2027-01</t>
        </is>
      </c>
      <c r="H28" t="inlineStr">
        <is>
          <t>貴金屬指數</t>
        </is>
      </c>
      <c r="I28" t="inlineStr">
        <is>
          <t>ci_precious</t>
        </is>
      </c>
      <c r="J28" s="7">
        <v>1.92</v>
      </c>
      <c r="K28" s="7">
        <v>7.63</v>
      </c>
      <c r="L28" s="8">
        <v>377</v>
      </c>
      <c r="M28" s="7">
        <v>3.28</v>
      </c>
      <c r="N28" s="7">
        <v>1.97</v>
      </c>
      <c r="O28" s="7">
        <v>43.18</v>
      </c>
      <c r="P28" s="7">
        <v>32.25</v>
      </c>
      <c r="Q28" s="7">
        <v>24.57</v>
      </c>
      <c r="R28" t="inlineStr">
        <is>
          <t>漲</t>
        </is>
      </c>
      <c r="S28" t="inlineStr">
        <is>
          <t>校準後：平常 +1.92% ＋ 模型超額 +0.05%</t>
        </is>
      </c>
      <c r="U28" t="inlineStr">
        <is>
          <t>無訊號</t>
        </is>
      </c>
      <c r="AA28" s="7">
        <v>1.2</v>
      </c>
      <c r="AB28" s="7">
        <v>39.26</v>
      </c>
      <c r="AC28" s="7">
        <v>32.89</v>
      </c>
      <c r="AD28" s="7">
        <v>27.85</v>
      </c>
      <c r="AE28" t="inlineStr">
        <is>
          <t>持平</t>
        </is>
      </c>
      <c r="AF28" t="inlineStr">
        <is>
          <t>沒有確切標的資料：平常 +1.92% ＋ 相似時點中位超額 -0.72%</t>
        </is>
      </c>
      <c r="AK28" t="inlineStr">
        <is>
          <t>無訊號</t>
        </is>
      </c>
      <c r="AL28" t="inlineStr">
        <is>
          <t>沒有位階資料</t>
        </is>
      </c>
      <c r="AM28" t="inlineStr">
        <is>
          <t>持平</t>
        </is>
      </c>
      <c r="AN28" s="8">
        <v>1</v>
      </c>
      <c r="AO28" s="8">
        <v>1</v>
      </c>
      <c r="AP28" s="8">
        <v>0</v>
      </c>
      <c r="AQ28" t="inlineStr">
        <is>
          <t>平手（漲 1、持平 1）</t>
        </is>
      </c>
      <c r="AR28" s="7">
        <v>41.22</v>
      </c>
      <c r="AS28" s="7">
        <v>32.57</v>
      </c>
      <c r="AT28" s="7">
        <v>26.21</v>
      </c>
      <c r="AU28" s="8">
        <v>2</v>
      </c>
      <c r="AV28" t="inlineStr">
        <is>
          <t>漲</t>
        </is>
      </c>
      <c r="AW28" s="7">
        <v>1.87</v>
      </c>
      <c r="AX28" t="inlineStr">
        <is>
          <t>校準後集成</t>
        </is>
      </c>
      <c r="AY28" s="7">
        <v>42.67</v>
      </c>
      <c r="AZ28" s="7">
        <v>32.35</v>
      </c>
      <c r="BA28" s="7">
        <v>24.98</v>
      </c>
      <c r="BB28" t="inlineStr">
        <is>
          <t>漲</t>
        </is>
      </c>
      <c r="BC28" s="7">
        <v>-6.64</v>
      </c>
      <c r="BD28" s="7">
        <v>11.74</v>
      </c>
      <c r="BE28" s="7">
        <v>0.4</v>
      </c>
      <c r="BF28" s="7">
        <v>4.66</v>
      </c>
      <c r="BG28" t="inlineStr">
        <is>
          <t>總經面 +1.97%（P漲 43%／P跌 25% → 漲）、產業鏈面 無訊號、歷史類比面 +1.20%（P漲 39%／P跌 28% → 持平）、位階面 無訊號；持平帶 ±3.28%（σ_h 7.63%×0.43），各面假設實際報酬是以預估值為中心、σ_h 為標準差的常態。投票 漲 1、持平 1 平手，綜合記為持平；綜合機率 P漲 41%／P跌 26%（2 面平均）→ 漲。幅度推演：預測報酬 +1.87%（P漲 43%／P跌 25% → 漲），80% 結果區間 -6.64～+11.74%。</t>
        </is>
      </c>
      <c r="BH28" t="inlineStr">
        <is>
          <t>未到期</t>
        </is>
      </c>
    </row>
    <row r="29">
      <c r="A29" t="inlineStr">
        <is>
          <t>SC-2026-09-fx_dxy-H3</t>
        </is>
      </c>
      <c r="B29" t="inlineStr">
        <is>
          <t>SC-2026-09</t>
        </is>
      </c>
      <c r="C29" t="inlineStr">
        <is>
          <t>2026-10-12</t>
        </is>
      </c>
      <c r="D29" t="inlineStr">
        <is>
          <t>2026-09</t>
        </is>
      </c>
      <c r="E29" t="inlineStr">
        <is>
          <t>2026-09</t>
        </is>
      </c>
      <c r="F29" s="8">
        <v>3</v>
      </c>
      <c r="G29" t="inlineStr">
        <is>
          <t>2026-12</t>
        </is>
      </c>
      <c r="H29" t="inlineStr">
        <is>
          <t>美元指數 DXY</t>
        </is>
      </c>
      <c r="I29" t="inlineStr">
        <is>
          <t>fx_dxy</t>
        </is>
      </c>
      <c r="J29" s="7">
        <v>0.13</v>
      </c>
      <c r="K29" s="7">
        <v>3.89</v>
      </c>
      <c r="L29" s="8">
        <v>378</v>
      </c>
      <c r="M29" s="7">
        <v>1.67</v>
      </c>
      <c r="N29" s="7">
        <v>0.1</v>
      </c>
      <c r="O29" s="7">
        <v>34.33</v>
      </c>
      <c r="P29" s="7">
        <v>33.22</v>
      </c>
      <c r="Q29" s="7">
        <v>32.45</v>
      </c>
      <c r="R29" t="inlineStr">
        <is>
          <t>持平</t>
        </is>
      </c>
      <c r="S29" t="inlineStr">
        <is>
          <t>校準後：平常 +0.13% ＋ 模型超額 -0.03%</t>
        </is>
      </c>
      <c r="U29" t="inlineStr">
        <is>
          <t>無訊號</t>
        </is>
      </c>
      <c r="AA29" s="7">
        <v>0.1</v>
      </c>
      <c r="AB29" s="7">
        <v>34.33</v>
      </c>
      <c r="AC29" s="7">
        <v>33.22</v>
      </c>
      <c r="AD29" s="7">
        <v>32.45</v>
      </c>
      <c r="AE29" t="inlineStr">
        <is>
          <t>持平</t>
        </is>
      </c>
      <c r="AF29" t="inlineStr">
        <is>
          <t>相似時點 12 段（26 個月）之後 3 個月的中位報酬</t>
        </is>
      </c>
      <c r="AG29" s="7">
        <v>1.5</v>
      </c>
      <c r="AH29" s="7">
        <v>48.26</v>
      </c>
      <c r="AI29" s="7">
        <v>30.98</v>
      </c>
      <c r="AJ29" s="7">
        <v>20.76</v>
      </c>
      <c r="AK29" t="inlineStr">
        <is>
          <t>漲</t>
        </is>
      </c>
      <c r="AL29" t="inlineStr">
        <is>
          <t>10 年位階 70.0%（60～80%），這一組歷史 12 段之後 6 個月的中位報酬（3 個月沿用 6 個月的表）</t>
        </is>
      </c>
      <c r="AM29" t="inlineStr">
        <is>
          <t>持平</t>
        </is>
      </c>
      <c r="AN29" s="8">
        <v>1</v>
      </c>
      <c r="AO29" s="8">
        <v>2</v>
      </c>
      <c r="AP29" s="8">
        <v>0</v>
      </c>
      <c r="AQ29" t="inlineStr">
        <is>
          <t>2／3 面同向</t>
        </is>
      </c>
      <c r="AR29" s="7">
        <v>38.97</v>
      </c>
      <c r="AS29" s="7">
        <v>32.47</v>
      </c>
      <c r="AT29" s="7">
        <v>28.55</v>
      </c>
      <c r="AU29" s="8">
        <v>3</v>
      </c>
      <c r="AV29" t="inlineStr">
        <is>
          <t>持平</t>
        </is>
      </c>
      <c r="AW29" s="7">
        <v>0.09</v>
      </c>
      <c r="AX29" t="inlineStr">
        <is>
          <t>校準後集成</t>
        </is>
      </c>
      <c r="AY29" s="7">
        <v>34.23</v>
      </c>
      <c r="AZ29" s="7">
        <v>33.22</v>
      </c>
      <c r="BA29" s="7">
        <v>32.55</v>
      </c>
      <c r="BB29" t="inlineStr">
        <is>
          <t>持平</t>
        </is>
      </c>
      <c r="BC29" s="7">
        <v>-5.16</v>
      </c>
      <c r="BD29" s="7">
        <v>5.02</v>
      </c>
      <c r="BE29" s="7">
        <v>-1.19</v>
      </c>
      <c r="BF29" s="7">
        <v>0.85</v>
      </c>
      <c r="BG29" t="inlineStr">
        <is>
          <t>總經面 +0.10%（P漲 34%／P跌 32% → 持平）、產業鏈面 無訊號、歷史類比面 +0.10%（P漲 34%／P跌 32% → 持平）、位階面 +1.50%（P漲 48%／P跌 21% → 漲）；持平帶 ±1.67%（σ_h 3.89%×0.43），各面假設實際報酬是以預估值為中心、σ_h 為標準差的常態。投票 漲 1、持平 2，綜合判斷持平（2／3 面同向）；綜合機率 P漲 39%／P跌 29%（3 面平均）→ 持平。幅度推演：預測報酬 +0.09%（P漲 34%／P跌 33% → 持平），80% 結果區間 -5.16～+5.02%。</t>
        </is>
      </c>
      <c r="BH29" t="inlineStr">
        <is>
          <t>未到期</t>
        </is>
      </c>
    </row>
    <row r="30">
      <c r="A30" t="inlineStr">
        <is>
          <t>SC-2026-09-fx_usdtwd-H3</t>
        </is>
      </c>
      <c r="B30" t="inlineStr">
        <is>
          <t>SC-2026-09</t>
        </is>
      </c>
      <c r="C30" t="inlineStr">
        <is>
          <t>2026-10-12</t>
        </is>
      </c>
      <c r="D30" t="inlineStr">
        <is>
          <t>2026-09</t>
        </is>
      </c>
      <c r="E30" t="inlineStr">
        <is>
          <t>2026-09</t>
        </is>
      </c>
      <c r="F30" s="8">
        <v>3</v>
      </c>
      <c r="G30" t="inlineStr">
        <is>
          <t>2027-01</t>
        </is>
      </c>
      <c r="H30" t="inlineStr">
        <is>
          <t>美元/新台幣</t>
        </is>
      </c>
      <c r="I30" t="inlineStr">
        <is>
          <t>fx_usdtwd</t>
        </is>
      </c>
      <c r="J30" s="7">
        <v>0.17</v>
      </c>
      <c r="K30" s="7">
        <v>2.84</v>
      </c>
      <c r="L30" s="8">
        <v>377</v>
      </c>
      <c r="M30" s="7">
        <v>1.22</v>
      </c>
      <c r="N30" s="7">
        <v>-0.04</v>
      </c>
      <c r="O30" s="7">
        <v>32.86</v>
      </c>
      <c r="P30" s="7">
        <v>33.25</v>
      </c>
      <c r="Q30" s="7">
        <v>33.89</v>
      </c>
      <c r="R30" t="inlineStr">
        <is>
          <t>持平</t>
        </is>
      </c>
      <c r="S30" t="inlineStr">
        <is>
          <t>校準後：平常 +0.17% ＋ 模型超額 -0.21%</t>
        </is>
      </c>
      <c r="T30" s="7">
        <v>12.0</v>
      </c>
      <c r="U30" t="inlineStr">
        <is>
          <t>跌</t>
        </is>
      </c>
      <c r="V30" t="inlineStr">
        <is>
          <t>跨鏈下一波</t>
        </is>
      </c>
      <c r="W30" t="inlineStr">
        <is>
          <t>新台幣轉強</t>
        </is>
      </c>
      <c r="X30" t="inlineStr">
        <is>
          <t>cycle_twd</t>
        </is>
      </c>
      <c r="Y30" s="7">
        <v>76.0</v>
      </c>
      <c r="Z30" s="7">
        <v>64.0</v>
      </c>
      <c r="AA30" s="7">
        <v>-0.6</v>
      </c>
      <c r="AB30" s="7">
        <v>26.08</v>
      </c>
      <c r="AC30" s="7">
        <v>32.56</v>
      </c>
      <c r="AD30" s="7">
        <v>41.36</v>
      </c>
      <c r="AE30" t="inlineStr">
        <is>
          <t>跌</t>
        </is>
      </c>
      <c r="AF30" t="inlineStr">
        <is>
          <t>相似時點 12 段（25 個月）之後 3 個月的中位報酬</t>
        </is>
      </c>
      <c r="AG30" s="7">
        <v>-1.4</v>
      </c>
      <c r="AH30" s="7">
        <v>17.81</v>
      </c>
      <c r="AI30" s="7">
        <v>29.66</v>
      </c>
      <c r="AJ30" s="7">
        <v>52.53</v>
      </c>
      <c r="AK30" t="inlineStr">
        <is>
          <t>跌</t>
        </is>
      </c>
      <c r="AL30" t="inlineStr">
        <is>
          <t>10 年位階 80.0%（60～80%），這一組歷史 15 段之後 6 個月的中位報酬（3 個月沿用 6 個月的表）</t>
        </is>
      </c>
      <c r="AM30" t="inlineStr">
        <is>
          <t>跌</t>
        </is>
      </c>
      <c r="AN30" s="8">
        <v>0</v>
      </c>
      <c r="AO30" s="8">
        <v>1</v>
      </c>
      <c r="AP30" s="8">
        <v>3</v>
      </c>
      <c r="AQ30" t="inlineStr">
        <is>
          <t>3／4 面同向</t>
        </is>
      </c>
      <c r="AR30" s="7">
        <v>25.58</v>
      </c>
      <c r="AS30" s="7">
        <v>31.82</v>
      </c>
      <c r="AT30" s="7">
        <v>42.59</v>
      </c>
      <c r="AU30" s="8">
        <v>3</v>
      </c>
      <c r="AV30" t="inlineStr">
        <is>
          <t>跌</t>
        </is>
      </c>
      <c r="AW30" s="7">
        <v>-0.08</v>
      </c>
      <c r="AX30" t="inlineStr">
        <is>
          <t>校準後集成</t>
        </is>
      </c>
      <c r="AY30" s="7">
        <v>32.36</v>
      </c>
      <c r="AZ30" s="7">
        <v>33.23</v>
      </c>
      <c r="BA30" s="7">
        <v>34.41</v>
      </c>
      <c r="BB30" t="inlineStr">
        <is>
          <t>持平</t>
        </is>
      </c>
      <c r="BC30" s="7">
        <v>-3.19</v>
      </c>
      <c r="BD30" s="7">
        <v>3.36</v>
      </c>
      <c r="BE30" s="7">
        <v>-1.82</v>
      </c>
      <c r="BF30" s="7">
        <v>-0.51</v>
      </c>
      <c r="BG30" t="inlineStr">
        <is>
          <t>總經面 -0.04%（P漲 33%／P跌 34% → 持平）、產業鏈面「新台幣轉強」機率 76%、平常 64%（跌）、歷史類比面 -0.60%（P漲 26%／P跌 41% → 跌）、位階面 -1.40%（P漲 18%／P跌 53% → 跌）；持平帶 ±1.22%（σ_h 2.84%×0.43），各面假設實際報酬是以預估值為中心、σ_h 為標準差的常態。投票 持平 1、跌 3，綜合判斷跌（3／4 面同向）；綜合機率 P漲 26%／P跌 43%（3 面平均）→ 跌。幅度推演：預測報酬 -0.08%（P漲 32%／P跌 34% → 持平），80% 結果區間 -3.19～+3.36%。</t>
        </is>
      </c>
      <c r="BH30" t="inlineStr">
        <is>
          <t>未到期</t>
        </is>
      </c>
    </row>
    <row r="31">
      <c r="A31" t="inlineStr">
        <is>
          <t>SC-2026-09-fx_usdjpy-H3</t>
        </is>
      </c>
      <c r="B31" t="inlineStr">
        <is>
          <t>SC-2026-09</t>
        </is>
      </c>
      <c r="C31" t="inlineStr">
        <is>
          <t>2026-10-12</t>
        </is>
      </c>
      <c r="D31" t="inlineStr">
        <is>
          <t>2026-09</t>
        </is>
      </c>
      <c r="E31" t="inlineStr">
        <is>
          <t>2026-09</t>
        </is>
      </c>
      <c r="F31" s="8">
        <v>3</v>
      </c>
      <c r="G31" t="inlineStr">
        <is>
          <t>2027-01</t>
        </is>
      </c>
      <c r="H31" t="inlineStr">
        <is>
          <t>美元/日圓</t>
        </is>
      </c>
      <c r="I31" t="inlineStr">
        <is>
          <t>fx_usdjpy</t>
        </is>
      </c>
      <c r="J31" s="7">
        <v>0.45</v>
      </c>
      <c r="K31" s="7">
        <v>5.12</v>
      </c>
      <c r="L31" s="8">
        <v>377</v>
      </c>
      <c r="M31" s="7">
        <v>2.2</v>
      </c>
      <c r="N31" s="7">
        <v>0.42</v>
      </c>
      <c r="O31" s="7">
        <v>36.4</v>
      </c>
      <c r="P31" s="7">
        <v>33.16</v>
      </c>
      <c r="Q31" s="7">
        <v>30.44</v>
      </c>
      <c r="R31" t="inlineStr">
        <is>
          <t>持平</t>
        </is>
      </c>
      <c r="S31" t="inlineStr">
        <is>
          <t>校準後：平常 +0.45% ＋ 模型超額 -0.03%</t>
        </is>
      </c>
      <c r="U31" t="inlineStr">
        <is>
          <t>無訊號</t>
        </is>
      </c>
      <c r="AA31" s="7">
        <v>0.8</v>
      </c>
      <c r="AB31" s="7">
        <v>39.23</v>
      </c>
      <c r="AC31" s="7">
        <v>32.87</v>
      </c>
      <c r="AD31" s="7">
        <v>27.9</v>
      </c>
      <c r="AE31" t="inlineStr">
        <is>
          <t>持平</t>
        </is>
      </c>
      <c r="AF31" t="inlineStr">
        <is>
          <t>相似時點 12 段（25 個月）之後 3 個月的中位報酬</t>
        </is>
      </c>
      <c r="AG31" s="7">
        <v>0.1</v>
      </c>
      <c r="AH31" s="7">
        <v>34.08</v>
      </c>
      <c r="AI31" s="7">
        <v>33.26</v>
      </c>
      <c r="AJ31" s="7">
        <v>32.66</v>
      </c>
      <c r="AK31" t="inlineStr">
        <is>
          <t>持平</t>
        </is>
      </c>
      <c r="AL31" t="inlineStr">
        <is>
          <t>10 年位階 91.0%（最高 20%），這一組歷史 9 段之後 6 個月的中位報酬（3 個月沿用 6 個月的表）</t>
        </is>
      </c>
      <c r="AM31" t="inlineStr">
        <is>
          <t>持平</t>
        </is>
      </c>
      <c r="AN31" s="8">
        <v>0</v>
      </c>
      <c r="AO31" s="8">
        <v>3</v>
      </c>
      <c r="AP31" s="8">
        <v>0</v>
      </c>
      <c r="AQ31" t="inlineStr">
        <is>
          <t>3／3 面同向</t>
        </is>
      </c>
      <c r="AR31" s="7">
        <v>36.57</v>
      </c>
      <c r="AS31" s="7">
        <v>33.1</v>
      </c>
      <c r="AT31" s="7">
        <v>30.33</v>
      </c>
      <c r="AU31" s="8">
        <v>3</v>
      </c>
      <c r="AV31" t="inlineStr">
        <is>
          <t>持平</t>
        </is>
      </c>
      <c r="AW31" s="7">
        <v>0.43</v>
      </c>
      <c r="AX31" t="inlineStr">
        <is>
          <t>校準後集成</t>
        </is>
      </c>
      <c r="AY31" s="7">
        <v>36.48</v>
      </c>
      <c r="AZ31" s="7">
        <v>33.15</v>
      </c>
      <c r="BA31" s="7">
        <v>30.37</v>
      </c>
      <c r="BB31" t="inlineStr">
        <is>
          <t>持平</t>
        </is>
      </c>
      <c r="BC31" s="7">
        <v>-6.21</v>
      </c>
      <c r="BD31" s="7">
        <v>6.44</v>
      </c>
      <c r="BE31" s="7">
        <v>-1.36</v>
      </c>
      <c r="BF31" s="7">
        <v>1.56</v>
      </c>
      <c r="BG31" t="inlineStr">
        <is>
          <t>總經面 +0.42%（P漲 36%／P跌 30% → 持平）、產業鏈面 無訊號、歷史類比面 +0.80%（P漲 39%／P跌 28% → 持平）、位階面 +0.10%（P漲 34%／P跌 33% → 持平）；持平帶 ±2.20%（σ_h 5.12%×0.43），各面假設實際報酬是以預估值為中心、σ_h 為標準差的常態。投票 持平 3，綜合判斷持平（3／3 面同向）；綜合機率 P漲 37%／P跌 30%（3 面平均）→ 持平。幅度推演：預測報酬 +0.43%（P漲 36%／P跌 30% → 持平），80% 結果區間 -6.21～+6.44%。</t>
        </is>
      </c>
      <c r="BH31" t="inlineStr">
        <is>
          <t>未到期</t>
        </is>
      </c>
    </row>
    <row r="32">
      <c r="A32" t="inlineStr">
        <is>
          <t>SC-2026-09-fx_eurusd-H3</t>
        </is>
      </c>
      <c r="B32" t="inlineStr">
        <is>
          <t>SC-2026-09</t>
        </is>
      </c>
      <c r="C32" t="inlineStr">
        <is>
          <t>2026-10-12</t>
        </is>
      </c>
      <c r="D32" t="inlineStr">
        <is>
          <t>2026-09</t>
        </is>
      </c>
      <c r="E32" t="inlineStr">
        <is>
          <t>2026-09</t>
        </is>
      </c>
      <c r="F32" s="8">
        <v>3</v>
      </c>
      <c r="G32" t="inlineStr">
        <is>
          <t>2027-01</t>
        </is>
      </c>
      <c r="H32" t="inlineStr">
        <is>
          <t>歐元/美元</t>
        </is>
      </c>
      <c r="I32" t="inlineStr">
        <is>
          <t>fx_eurusd</t>
        </is>
      </c>
      <c r="J32" s="7">
        <v>-0.1</v>
      </c>
      <c r="K32" s="7">
        <v>4.35</v>
      </c>
      <c r="L32" s="8">
        <v>377</v>
      </c>
      <c r="M32" s="7">
        <v>1.87</v>
      </c>
      <c r="N32" s="7">
        <v>-0.07</v>
      </c>
      <c r="O32" s="7">
        <v>32.78</v>
      </c>
      <c r="P32" s="7">
        <v>33.27</v>
      </c>
      <c r="Q32" s="7">
        <v>33.95</v>
      </c>
      <c r="R32" t="inlineStr">
        <is>
          <t>持平</t>
        </is>
      </c>
      <c r="S32" t="inlineStr">
        <is>
          <t>校準後：平常 -0.10% ＋ 模型超額 +0.03%</t>
        </is>
      </c>
      <c r="U32" t="inlineStr">
        <is>
          <t>無訊號</t>
        </is>
      </c>
      <c r="AA32" s="7">
        <v>0.07</v>
      </c>
      <c r="AB32" s="7">
        <v>33.95</v>
      </c>
      <c r="AC32" s="7">
        <v>33.27</v>
      </c>
      <c r="AD32" s="7">
        <v>32.78</v>
      </c>
      <c r="AE32" t="inlineStr">
        <is>
          <t>持平</t>
        </is>
      </c>
      <c r="AF32" t="inlineStr">
        <is>
          <t>沒有確切標的資料：平常 -0.10% ＋ 相似時點中位超額 +0.17%</t>
        </is>
      </c>
      <c r="AK32" t="inlineStr">
        <is>
          <t>無訊號</t>
        </is>
      </c>
      <c r="AL32" t="inlineStr">
        <is>
          <t>沒有位階資料</t>
        </is>
      </c>
      <c r="AM32" t="inlineStr">
        <is>
          <t>持平</t>
        </is>
      </c>
      <c r="AN32" s="8">
        <v>0</v>
      </c>
      <c r="AO32" s="8">
        <v>2</v>
      </c>
      <c r="AP32" s="8">
        <v>0</v>
      </c>
      <c r="AQ32" t="inlineStr">
        <is>
          <t>2／2 面同向</t>
        </is>
      </c>
      <c r="AR32" s="7">
        <v>33.37</v>
      </c>
      <c r="AS32" s="7">
        <v>33.27</v>
      </c>
      <c r="AT32" s="7">
        <v>33.37</v>
      </c>
      <c r="AU32" s="8">
        <v>2</v>
      </c>
      <c r="AV32" t="inlineStr">
        <is>
          <t>持平</t>
        </is>
      </c>
      <c r="AW32" s="7">
        <v>-0.05</v>
      </c>
      <c r="AX32" t="inlineStr">
        <is>
          <t>校準後集成</t>
        </is>
      </c>
      <c r="AY32" s="7">
        <v>32.95</v>
      </c>
      <c r="AZ32" s="7">
        <v>33.27</v>
      </c>
      <c r="BA32" s="7">
        <v>33.78</v>
      </c>
      <c r="BB32" t="inlineStr">
        <is>
          <t>持平</t>
        </is>
      </c>
      <c r="BC32" s="7">
        <v>-5.4</v>
      </c>
      <c r="BD32" s="7">
        <v>5.8</v>
      </c>
      <c r="BE32" s="7">
        <v>-1.35</v>
      </c>
      <c r="BF32" s="7">
        <v>1.62</v>
      </c>
      <c r="BG32" t="inlineStr">
        <is>
          <t>總經面 -0.07%（P漲 33%／P跌 34% → 持平）、產業鏈面 無訊號、歷史類比面 +0.07%（P漲 34%／P跌 33% → 持平）、位階面 無訊號；持平帶 ±1.87%（σ_h 4.35%×0.43），各面假設實際報酬是以預估值為中心、σ_h 為標準差的常態。投票 持平 2，綜合判斷持平（2／2 面同向）；綜合機率 P漲 33%／P跌 33%（2 面平均）→ 持平。幅度推演：預測報酬 -0.05%（P漲 33%／P跌 34% → 持平），80% 結果區間 -5.40～+5.80%。</t>
        </is>
      </c>
      <c r="BH32" t="inlineStr">
        <is>
          <t>未到期</t>
        </is>
      </c>
    </row>
    <row r="33">
      <c r="A33" t="inlineStr">
        <is>
          <t>SC-2026-09-eq_spx-H6</t>
        </is>
      </c>
      <c r="B33" t="inlineStr">
        <is>
          <t>SC-2026-09</t>
        </is>
      </c>
      <c r="C33" t="inlineStr">
        <is>
          <t>2026-10-12</t>
        </is>
      </c>
      <c r="D33" t="inlineStr">
        <is>
          <t>2026-09</t>
        </is>
      </c>
      <c r="E33" t="inlineStr">
        <is>
          <t>2026-09</t>
        </is>
      </c>
      <c r="F33" s="8">
        <v>6</v>
      </c>
      <c r="G33" t="inlineStr">
        <is>
          <t>2027-03</t>
        </is>
      </c>
      <c r="H33" t="inlineStr">
        <is>
          <t>S&amp;P 500</t>
        </is>
      </c>
      <c r="I33" t="inlineStr">
        <is>
          <t>eq_spx</t>
        </is>
      </c>
      <c r="J33" s="7">
        <v>4.31</v>
      </c>
      <c r="K33" s="7">
        <v>11.08</v>
      </c>
      <c r="L33" s="8">
        <v>375</v>
      </c>
      <c r="M33" s="7">
        <v>4.76</v>
      </c>
      <c r="N33" s="7">
        <v>4.77</v>
      </c>
      <c r="O33" s="7">
        <v>50.04</v>
      </c>
      <c r="P33" s="7">
        <v>30.47</v>
      </c>
      <c r="Q33" s="7">
        <v>19.49</v>
      </c>
      <c r="R33" t="inlineStr">
        <is>
          <t>漲</t>
        </is>
      </c>
      <c r="S33" t="inlineStr">
        <is>
          <t>校準後：平常 +4.31% ＋ 模型超額 +0.46%</t>
        </is>
      </c>
      <c r="T33" s="7">
        <v>-8.0</v>
      </c>
      <c r="U33" t="inlineStr">
        <is>
          <t>持平</t>
        </is>
      </c>
      <c r="V33" t="inlineStr">
        <is>
          <t>日圓套利平倉</t>
        </is>
      </c>
      <c r="W33" t="inlineStr">
        <is>
          <t>美股下跌</t>
        </is>
      </c>
      <c r="X33" t="inlineStr">
        <is>
          <t>carry_spx</t>
        </is>
      </c>
      <c r="Y33" s="7">
        <v>30.0</v>
      </c>
      <c r="Z33" s="7">
        <v>38.0</v>
      </c>
      <c r="AA33" s="7">
        <v>8.1</v>
      </c>
      <c r="AB33" s="7">
        <v>61.85</v>
      </c>
      <c r="AC33" s="7">
        <v>25.86</v>
      </c>
      <c r="AD33" s="7">
        <v>12.29</v>
      </c>
      <c r="AE33" t="inlineStr">
        <is>
          <t>漲</t>
        </is>
      </c>
      <c r="AF33" t="inlineStr">
        <is>
          <t>相似時點 11 段（24 個月）之後 6 個月的中位報酬</t>
        </is>
      </c>
      <c r="AG33" s="7">
        <v>5.5</v>
      </c>
      <c r="AH33" s="7">
        <v>52.66</v>
      </c>
      <c r="AI33" s="7">
        <v>29.62</v>
      </c>
      <c r="AJ33" s="7">
        <v>17.72</v>
      </c>
      <c r="AK33" t="inlineStr">
        <is>
          <t>漲</t>
        </is>
      </c>
      <c r="AL33" t="inlineStr">
        <is>
          <t>10 年位階 99.0%（最高 20%），這一組歷史 6 段之後 6 個月的中位報酬</t>
        </is>
      </c>
      <c r="AM33" t="inlineStr">
        <is>
          <t>漲</t>
        </is>
      </c>
      <c r="AN33" s="8">
        <v>3</v>
      </c>
      <c r="AO33" s="8">
        <v>1</v>
      </c>
      <c r="AP33" s="8">
        <v>0</v>
      </c>
      <c r="AQ33" t="inlineStr">
        <is>
          <t>3／4 面同向</t>
        </is>
      </c>
      <c r="AR33" s="7">
        <v>54.85</v>
      </c>
      <c r="AS33" s="7">
        <v>28.65</v>
      </c>
      <c r="AT33" s="7">
        <v>16.5</v>
      </c>
      <c r="AU33" s="8">
        <v>3</v>
      </c>
      <c r="AV33" t="inlineStr">
        <is>
          <t>漲</t>
        </is>
      </c>
      <c r="AW33" s="7">
        <v>5.05</v>
      </c>
      <c r="AX33" t="inlineStr">
        <is>
          <t>校準後集成</t>
        </is>
      </c>
      <c r="AY33" s="7">
        <v>51.04</v>
      </c>
      <c r="AZ33" s="7">
        <v>30.16</v>
      </c>
      <c r="BA33" s="7">
        <v>18.8</v>
      </c>
      <c r="BB33" t="inlineStr">
        <is>
          <t>漲</t>
        </is>
      </c>
      <c r="BC33" s="7">
        <v>-7.79</v>
      </c>
      <c r="BD33" s="7">
        <v>16.21</v>
      </c>
      <c r="BE33" s="7">
        <v>5.08</v>
      </c>
      <c r="BF33" s="7">
        <v>12.05</v>
      </c>
      <c r="BG33" t="inlineStr">
        <is>
          <t>總經面 +4.77%（P漲 50%／P跌 19% → 漲）、產業鏈面「美股下跌」機率 30%、平常 38%（持平）、歷史類比面 +8.10%（P漲 62%／P跌 12% → 漲）、位階面 +5.50%（P漲 53%／P跌 18% → 漲）；持平帶 ±4.76%（σ_h 11.08%×0.43），各面假設實際報酬是以預估值為中心、σ_h 為標準差的常態。投票 漲 3、持平 1，綜合判斷漲（3／4 面同向）；綜合機率 P漲 55%／P跌 16%（3 面平均）→ 漲。幅度推演：預測報酬 +5.05%（P漲 51%／P跌 19% → 漲），80% 結果區間 -7.79～+16.21%。</t>
        </is>
      </c>
      <c r="BH33" t="inlineStr">
        <is>
          <t>未到期</t>
        </is>
      </c>
    </row>
    <row r="34">
      <c r="A34" t="inlineStr">
        <is>
          <t>SC-2026-09-eq_ndx-H6</t>
        </is>
      </c>
      <c r="B34" t="inlineStr">
        <is>
          <t>SC-2026-09</t>
        </is>
      </c>
      <c r="C34" t="inlineStr">
        <is>
          <t>2026-10-12</t>
        </is>
      </c>
      <c r="D34" t="inlineStr">
        <is>
          <t>2026-09</t>
        </is>
      </c>
      <c r="E34" t="inlineStr">
        <is>
          <t>2026-09</t>
        </is>
      </c>
      <c r="F34" s="8">
        <v>6</v>
      </c>
      <c r="G34" t="inlineStr">
        <is>
          <t>2027-03</t>
        </is>
      </c>
      <c r="H34" t="inlineStr">
        <is>
          <t>那斯達克 100</t>
        </is>
      </c>
      <c r="I34" t="inlineStr">
        <is>
          <t>eq_ndx</t>
        </is>
      </c>
      <c r="J34" s="7">
        <v>6.64</v>
      </c>
      <c r="K34" s="7">
        <v>18.11</v>
      </c>
      <c r="L34" s="8">
        <v>375</v>
      </c>
      <c r="M34" s="7">
        <v>7.79</v>
      </c>
      <c r="N34" s="7">
        <v>7.43</v>
      </c>
      <c r="O34" s="7">
        <v>49.21</v>
      </c>
      <c r="P34" s="7">
        <v>30.76</v>
      </c>
      <c r="Q34" s="7">
        <v>20.03</v>
      </c>
      <c r="R34" t="inlineStr">
        <is>
          <t>漲</t>
        </is>
      </c>
      <c r="S34" t="inlineStr">
        <is>
          <t>校準後：平常 +6.64% ＋ 模型超額 +0.79%</t>
        </is>
      </c>
      <c r="T34" s="7">
        <v>-4.0</v>
      </c>
      <c r="U34" t="inlineStr">
        <is>
          <t>無訊號</t>
        </is>
      </c>
      <c r="V34" t="inlineStr">
        <is>
          <t>通膨</t>
        </is>
      </c>
      <c r="W34" t="inlineStr">
        <is>
          <t>科技股下跌</t>
        </is>
      </c>
      <c r="X34" t="inlineStr">
        <is>
          <t>inflation_ndx</t>
        </is>
      </c>
      <c r="Y34" s="7">
        <v>45.0</v>
      </c>
      <c r="Z34" s="7">
        <v>49.0</v>
      </c>
      <c r="AA34" s="7">
        <v>13.7</v>
      </c>
      <c r="AB34" s="7">
        <v>62.79</v>
      </c>
      <c r="AC34" s="7">
        <v>25.44</v>
      </c>
      <c r="AD34" s="7">
        <v>11.77</v>
      </c>
      <c r="AE34" t="inlineStr">
        <is>
          <t>漲</t>
        </is>
      </c>
      <c r="AF34" t="inlineStr">
        <is>
          <t>相似時點 11 段（24 個月）之後 6 個月的中位報酬</t>
        </is>
      </c>
      <c r="AG34" s="7">
        <v>9.7</v>
      </c>
      <c r="AH34" s="7">
        <v>54.2</v>
      </c>
      <c r="AI34" s="7">
        <v>29.09</v>
      </c>
      <c r="AJ34" s="7">
        <v>16.71</v>
      </c>
      <c r="AK34" t="inlineStr">
        <is>
          <t>漲</t>
        </is>
      </c>
      <c r="AL34" t="inlineStr">
        <is>
          <t>10 年位階 100.0%（最高 20%），這一組歷史 3 段之後 6 個月的中位報酬</t>
        </is>
      </c>
      <c r="AM34" t="inlineStr">
        <is>
          <t>漲</t>
        </is>
      </c>
      <c r="AN34" s="8">
        <v>3</v>
      </c>
      <c r="AO34" s="8">
        <v>0</v>
      </c>
      <c r="AP34" s="8">
        <v>0</v>
      </c>
      <c r="AQ34" t="inlineStr">
        <is>
          <t>3／3 面同向</t>
        </is>
      </c>
      <c r="AR34" s="7">
        <v>55.4</v>
      </c>
      <c r="AS34" s="7">
        <v>28.43</v>
      </c>
      <c r="AT34" s="7">
        <v>16.17</v>
      </c>
      <c r="AU34" s="8">
        <v>3</v>
      </c>
      <c r="AV34" t="inlineStr">
        <is>
          <t>漲</t>
        </is>
      </c>
      <c r="AW34" s="7">
        <v>7.95</v>
      </c>
      <c r="AX34" t="inlineStr">
        <is>
          <t>校準後集成</t>
        </is>
      </c>
      <c r="AY34" s="7">
        <v>50.35</v>
      </c>
      <c r="AZ34" s="7">
        <v>30.41</v>
      </c>
      <c r="BA34" s="7">
        <v>19.24</v>
      </c>
      <c r="BB34" t="inlineStr">
        <is>
          <t>漲</t>
        </is>
      </c>
      <c r="BC34" s="7">
        <v>-11.01</v>
      </c>
      <c r="BD34" s="7">
        <v>26.0</v>
      </c>
      <c r="BE34" s="7">
        <v>7.94</v>
      </c>
      <c r="BF34" s="7">
        <v>18.61</v>
      </c>
      <c r="BG34" t="inlineStr">
        <is>
          <t>總經面 +7.43%（P漲 49%／P跌 20% → 漲）、產業鏈面「科技股下跌」機率 45%、平常 49%（無訊號）、歷史類比面 +13.70%（P漲 63%／P跌 12% → 漲）、位階面 +9.70%（P漲 54%／P跌 17% → 漲）；持平帶 ±7.79%（σ_h 18.11%×0.43），各面假設實際報酬是以預估值為中心、σ_h 為標準差的常態。投票 漲 3，綜合判斷漲（3／3 面同向）；綜合機率 P漲 55%／P跌 16%（3 面平均）→ 漲。幅度推演：預測報酬 +7.95%（P漲 50%／P跌 19% → 漲），80% 結果區間 -11.01～+26.00%。</t>
        </is>
      </c>
      <c r="BH34" t="inlineStr">
        <is>
          <t>未到期</t>
        </is>
      </c>
    </row>
    <row r="35">
      <c r="A35" t="inlineStr">
        <is>
          <t>SC-2026-09-eq_dji-H6</t>
        </is>
      </c>
      <c r="B35" t="inlineStr">
        <is>
          <t>SC-2026-09</t>
        </is>
      </c>
      <c r="C35" t="inlineStr">
        <is>
          <t>2026-10-12</t>
        </is>
      </c>
      <c r="D35" t="inlineStr">
        <is>
          <t>2026-09</t>
        </is>
      </c>
      <c r="E35" t="inlineStr">
        <is>
          <t>2026-09</t>
        </is>
      </c>
      <c r="F35" s="8">
        <v>6</v>
      </c>
      <c r="G35" t="inlineStr">
        <is>
          <t>2027-03</t>
        </is>
      </c>
      <c r="H35" t="inlineStr">
        <is>
          <t>道瓊工業</t>
        </is>
      </c>
      <c r="I35" t="inlineStr">
        <is>
          <t>eq_dji</t>
        </is>
      </c>
      <c r="J35" s="7">
        <v>4.01</v>
      </c>
      <c r="K35" s="7">
        <v>10.03</v>
      </c>
      <c r="L35" s="8">
        <v>375</v>
      </c>
      <c r="M35" s="7">
        <v>4.31</v>
      </c>
      <c r="N35" s="7">
        <v>4.26</v>
      </c>
      <c r="O35" s="7">
        <v>49.8</v>
      </c>
      <c r="P35" s="7">
        <v>30.56</v>
      </c>
      <c r="Q35" s="7">
        <v>19.64</v>
      </c>
      <c r="R35" t="inlineStr">
        <is>
          <t>漲</t>
        </is>
      </c>
      <c r="S35" t="inlineStr">
        <is>
          <t>校準後：平常 +4.01% ＋ 模型超額 +0.25%</t>
        </is>
      </c>
      <c r="U35" t="inlineStr">
        <is>
          <t>無訊號</t>
        </is>
      </c>
      <c r="AA35" s="7">
        <v>5.8</v>
      </c>
      <c r="AB35" s="7">
        <v>55.9</v>
      </c>
      <c r="AC35" s="7">
        <v>28.43</v>
      </c>
      <c r="AD35" s="7">
        <v>15.67</v>
      </c>
      <c r="AE35" t="inlineStr">
        <is>
          <t>漲</t>
        </is>
      </c>
      <c r="AF35" t="inlineStr">
        <is>
          <t>沒有確切標的資料：平常 +4.01% ＋ 相似時點中位超額 +1.79%</t>
        </is>
      </c>
      <c r="AK35" t="inlineStr">
        <is>
          <t>無訊號</t>
        </is>
      </c>
      <c r="AL35" t="inlineStr">
        <is>
          <t>沒有位階資料</t>
        </is>
      </c>
      <c r="AM35" t="inlineStr">
        <is>
          <t>漲</t>
        </is>
      </c>
      <c r="AN35" s="8">
        <v>2</v>
      </c>
      <c r="AO35" s="8">
        <v>0</v>
      </c>
      <c r="AP35" s="8">
        <v>0</v>
      </c>
      <c r="AQ35" t="inlineStr">
        <is>
          <t>2／2 面同向</t>
        </is>
      </c>
      <c r="AR35" s="7">
        <v>52.85</v>
      </c>
      <c r="AS35" s="7">
        <v>29.49</v>
      </c>
      <c r="AT35" s="7">
        <v>17.66</v>
      </c>
      <c r="AU35" s="8">
        <v>2</v>
      </c>
      <c r="AV35" t="inlineStr">
        <is>
          <t>漲</t>
        </is>
      </c>
      <c r="AW35" s="7">
        <v>4.47</v>
      </c>
      <c r="AX35" t="inlineStr">
        <is>
          <t>校準後集成</t>
        </is>
      </c>
      <c r="AY35" s="7">
        <v>50.64</v>
      </c>
      <c r="AZ35" s="7">
        <v>30.29</v>
      </c>
      <c r="BA35" s="7">
        <v>19.07</v>
      </c>
      <c r="BB35" t="inlineStr">
        <is>
          <t>漲</t>
        </is>
      </c>
      <c r="BC35" s="7">
        <v>-7.4</v>
      </c>
      <c r="BD35" s="7">
        <v>15.37</v>
      </c>
      <c r="BE35" s="7">
        <v>3.42</v>
      </c>
      <c r="BF35" s="7">
        <v>9.41</v>
      </c>
      <c r="BG35" t="inlineStr">
        <is>
          <t>總經面 +4.26%（P漲 50%／P跌 20% → 漲）、產業鏈面 無訊號、歷史類比面 +5.80%（P漲 56%／P跌 16% → 漲）、位階面 無訊號；持平帶 ±4.31%（σ_h 10.03%×0.43），各面假設實際報酬是以預估值為中心、σ_h 為標準差的常態。投票 漲 2，綜合判斷漲（2／2 面同向）；綜合機率 P漲 53%／P跌 18%（2 面平均）→ 漲。幅度推演：預測報酬 +4.47%（P漲 51%／P跌 19% → 漲），80% 結果區間 -7.40～+15.37%。</t>
        </is>
      </c>
      <c r="BH35" t="inlineStr">
        <is>
          <t>未到期</t>
        </is>
      </c>
    </row>
    <row r="36">
      <c r="A36" t="inlineStr">
        <is>
          <t>SC-2026-09-eq_sox-H6</t>
        </is>
      </c>
      <c r="B36" t="inlineStr">
        <is>
          <t>SC-2026-09</t>
        </is>
      </c>
      <c r="C36" t="inlineStr">
        <is>
          <t>2026-10-12</t>
        </is>
      </c>
      <c r="D36" t="inlineStr">
        <is>
          <t>2026-09</t>
        </is>
      </c>
      <c r="E36" t="inlineStr">
        <is>
          <t>2026-09</t>
        </is>
      </c>
      <c r="F36" s="8">
        <v>6</v>
      </c>
      <c r="G36" t="inlineStr">
        <is>
          <t>2027-03</t>
        </is>
      </c>
      <c r="H36" t="inlineStr">
        <is>
          <t>費城半導體</t>
        </is>
      </c>
      <c r="I36" t="inlineStr">
        <is>
          <t>eq_sox</t>
        </is>
      </c>
      <c r="J36" s="7">
        <v>6.69</v>
      </c>
      <c r="K36" s="7">
        <v>25.51</v>
      </c>
      <c r="L36" s="8">
        <v>375</v>
      </c>
      <c r="M36" s="7">
        <v>10.97</v>
      </c>
      <c r="N36" s="7">
        <v>8.04</v>
      </c>
      <c r="O36" s="7">
        <v>45.43</v>
      </c>
      <c r="P36" s="7">
        <v>31.76</v>
      </c>
      <c r="Q36" s="7">
        <v>22.81</v>
      </c>
      <c r="R36" t="inlineStr">
        <is>
          <t>漲</t>
        </is>
      </c>
      <c r="S36" t="inlineStr">
        <is>
          <t>校準後：平常 +6.69% ＋ 模型超額 +1.35%</t>
        </is>
      </c>
      <c r="T36" s="7">
        <v>14.0</v>
      </c>
      <c r="U36" t="inlineStr">
        <is>
          <t>漲</t>
        </is>
      </c>
      <c r="V36" t="inlineStr">
        <is>
          <t>跨鏈下一波</t>
        </is>
      </c>
      <c r="W36" t="inlineStr">
        <is>
          <t>半導體股大漲</t>
        </is>
      </c>
      <c r="X36" t="inlineStr">
        <is>
          <t>cycle_sox</t>
        </is>
      </c>
      <c r="Y36" s="7">
        <v>91.0</v>
      </c>
      <c r="Z36" s="7">
        <v>77.0</v>
      </c>
      <c r="AA36" s="7">
        <v>14.2</v>
      </c>
      <c r="AB36" s="7">
        <v>55.04</v>
      </c>
      <c r="AC36" s="7">
        <v>28.77</v>
      </c>
      <c r="AD36" s="7">
        <v>16.19</v>
      </c>
      <c r="AE36" t="inlineStr">
        <is>
          <t>漲</t>
        </is>
      </c>
      <c r="AF36" t="inlineStr">
        <is>
          <t>相似時點 11 段（24 個月）之後 6 個月的中位報酬</t>
        </is>
      </c>
      <c r="AG36" s="7">
        <v>11.4</v>
      </c>
      <c r="AH36" s="7">
        <v>50.67</v>
      </c>
      <c r="AI36" s="7">
        <v>30.3</v>
      </c>
      <c r="AJ36" s="7">
        <v>19.03</v>
      </c>
      <c r="AK36" t="inlineStr">
        <is>
          <t>漲</t>
        </is>
      </c>
      <c r="AL36" t="inlineStr">
        <is>
          <t>10 年位階 98.0%（最高 20%），這一組歷史 3 段之後 6 個月的中位報酬</t>
        </is>
      </c>
      <c r="AM36" t="inlineStr">
        <is>
          <t>漲</t>
        </is>
      </c>
      <c r="AN36" s="8">
        <v>4</v>
      </c>
      <c r="AO36" s="8">
        <v>0</v>
      </c>
      <c r="AP36" s="8">
        <v>0</v>
      </c>
      <c r="AQ36" t="inlineStr">
        <is>
          <t>4／4 面同向</t>
        </is>
      </c>
      <c r="AR36" s="7">
        <v>50.38</v>
      </c>
      <c r="AS36" s="7">
        <v>30.28</v>
      </c>
      <c r="AT36" s="7">
        <v>19.34</v>
      </c>
      <c r="AU36" s="8">
        <v>3</v>
      </c>
      <c r="AV36" t="inlineStr">
        <is>
          <t>漲</t>
        </is>
      </c>
      <c r="AW36" s="7">
        <v>8.79</v>
      </c>
      <c r="AX36" t="inlineStr">
        <is>
          <t>校準後集成</t>
        </is>
      </c>
      <c r="AY36" s="7">
        <v>46.59</v>
      </c>
      <c r="AZ36" s="7">
        <v>31.48</v>
      </c>
      <c r="BA36" s="7">
        <v>21.93</v>
      </c>
      <c r="BB36" t="inlineStr">
        <is>
          <t>漲</t>
        </is>
      </c>
      <c r="BC36" s="7">
        <v>-21.97</v>
      </c>
      <c r="BD36" s="7">
        <v>37.99</v>
      </c>
      <c r="BE36" s="7">
        <v>9.2</v>
      </c>
      <c r="BF36" s="7">
        <v>27.96</v>
      </c>
      <c r="BG36" t="inlineStr">
        <is>
          <t>總經面 +8.04%（P漲 45%／P跌 23% → 漲）、產業鏈面「半導體股大漲」機率 91%、平常 77%（漲）、歷史類比面 +14.20%（P漲 55%／P跌 16% → 漲）、位階面 +11.40%（P漲 51%／P跌 19% → 漲）；持平帶 ±10.97%（σ_h 25.51%×0.43），各面假設實際報酬是以預估值為中心、σ_h 為標準差的常態。投票 漲 4，綜合判斷漲（4／4 面同向）；綜合機率 P漲 50%／P跌 19%（3 面平均）→ 漲。幅度推演：預測報酬 +8.79%（P漲 47%／P跌 22% → 漲），80% 結果區間 -21.97～+37.99%。</t>
        </is>
      </c>
      <c r="BH36" t="inlineStr">
        <is>
          <t>未到期</t>
        </is>
      </c>
    </row>
    <row r="37">
      <c r="A37" t="inlineStr">
        <is>
          <t>SC-2026-09-eq_hsi-H6</t>
        </is>
      </c>
      <c r="B37" t="inlineStr">
        <is>
          <t>SC-2026-09</t>
        </is>
      </c>
      <c r="C37" t="inlineStr">
        <is>
          <t>2026-10-12</t>
        </is>
      </c>
      <c r="D37" t="inlineStr">
        <is>
          <t>2026-09</t>
        </is>
      </c>
      <c r="E37" t="inlineStr">
        <is>
          <t>2026-09</t>
        </is>
      </c>
      <c r="F37" s="8">
        <v>6</v>
      </c>
      <c r="G37" t="inlineStr">
        <is>
          <t>2027-03</t>
        </is>
      </c>
      <c r="H37" t="inlineStr">
        <is>
          <t>恆生指數</t>
        </is>
      </c>
      <c r="I37" t="inlineStr">
        <is>
          <t>eq_hsi</t>
        </is>
      </c>
      <c r="J37" s="7">
        <v>1.72</v>
      </c>
      <c r="K37" s="7">
        <v>16.47</v>
      </c>
      <c r="L37" s="8">
        <v>375</v>
      </c>
      <c r="M37" s="7">
        <v>7.08</v>
      </c>
      <c r="N37" s="7">
        <v>2.29</v>
      </c>
      <c r="O37" s="7">
        <v>38.56</v>
      </c>
      <c r="P37" s="7">
        <v>32.97</v>
      </c>
      <c r="Q37" s="7">
        <v>28.47</v>
      </c>
      <c r="R37" t="inlineStr">
        <is>
          <t>持平</t>
        </is>
      </c>
      <c r="S37" t="inlineStr">
        <is>
          <t>校準後：平常 +1.72% ＋ 模型超額 +0.57%</t>
        </is>
      </c>
      <c r="U37" t="inlineStr">
        <is>
          <t>無訊號</t>
        </is>
      </c>
      <c r="AA37" s="7">
        <v>9.4</v>
      </c>
      <c r="AB37" s="7">
        <v>55.6</v>
      </c>
      <c r="AC37" s="7">
        <v>28.55</v>
      </c>
      <c r="AD37" s="7">
        <v>15.85</v>
      </c>
      <c r="AE37" t="inlineStr">
        <is>
          <t>漲</t>
        </is>
      </c>
      <c r="AF37" t="inlineStr">
        <is>
          <t>相似時點 11 段（24 個月）之後 6 個月的中位報酬</t>
        </is>
      </c>
      <c r="AG37" s="7">
        <v>6.4</v>
      </c>
      <c r="AH37" s="7">
        <v>48.35</v>
      </c>
      <c r="AI37" s="7">
        <v>31.0</v>
      </c>
      <c r="AJ37" s="7">
        <v>20.65</v>
      </c>
      <c r="AK37" t="inlineStr">
        <is>
          <t>漲</t>
        </is>
      </c>
      <c r="AL37" t="inlineStr">
        <is>
          <t>10 年位階 49.0%（40～60%），這一組歷史 17 段之後 6 個月的中位報酬</t>
        </is>
      </c>
      <c r="AM37" t="inlineStr">
        <is>
          <t>漲</t>
        </is>
      </c>
      <c r="AN37" s="8">
        <v>2</v>
      </c>
      <c r="AO37" s="8">
        <v>1</v>
      </c>
      <c r="AP37" s="8">
        <v>0</v>
      </c>
      <c r="AQ37" t="inlineStr">
        <is>
          <t>2／3 面同向</t>
        </is>
      </c>
      <c r="AR37" s="7">
        <v>47.5</v>
      </c>
      <c r="AS37" s="7">
        <v>30.84</v>
      </c>
      <c r="AT37" s="7">
        <v>21.66</v>
      </c>
      <c r="AU37" s="8">
        <v>3</v>
      </c>
      <c r="AV37" t="inlineStr">
        <is>
          <t>漲</t>
        </is>
      </c>
      <c r="AW37" s="7">
        <v>2.97</v>
      </c>
      <c r="AX37" t="inlineStr">
        <is>
          <t>校準後集成</t>
        </is>
      </c>
      <c r="AY37" s="7">
        <v>40.15</v>
      </c>
      <c r="AZ37" s="7">
        <v>32.76</v>
      </c>
      <c r="BA37" s="7">
        <v>27.09</v>
      </c>
      <c r="BB37" t="inlineStr">
        <is>
          <t>漲</t>
        </is>
      </c>
      <c r="BC37" s="7">
        <v>-17.08</v>
      </c>
      <c r="BD37" s="7">
        <v>20.08</v>
      </c>
      <c r="BE37" s="7">
        <v>1.0</v>
      </c>
      <c r="BF37" s="7">
        <v>12.32</v>
      </c>
      <c r="BG37" t="inlineStr">
        <is>
          <t>總經面 +2.29%（P漲 39%／P跌 28% → 持平）、產業鏈面 無訊號、歷史類比面 +9.40%（P漲 56%／P跌 16% → 漲）、位階面 +6.40%（P漲 48%／P跌 21% → 漲）；持平帶 ±7.08%（σ_h 16.47%×0.43），各面假設實際報酬是以預估值為中心、σ_h 為標準差的常態。投票 漲 2、持平 1，綜合判斷漲（2／3 面同向）；綜合機率 P漲 48%／P跌 22%（3 面平均）→ 漲。幅度推演：預測報酬 +2.97%（P漲 40%／P跌 27% → 漲），80% 結果區間 -17.08～+20.08%。</t>
        </is>
      </c>
      <c r="BH37" t="inlineStr">
        <is>
          <t>未到期</t>
        </is>
      </c>
    </row>
    <row r="38">
      <c r="A38" t="inlineStr">
        <is>
          <t>SC-2026-09-eq_twii-H6</t>
        </is>
      </c>
      <c r="B38" t="inlineStr">
        <is>
          <t>SC-2026-09</t>
        </is>
      </c>
      <c r="C38" t="inlineStr">
        <is>
          <t>2026-10-12</t>
        </is>
      </c>
      <c r="D38" t="inlineStr">
        <is>
          <t>2026-09</t>
        </is>
      </c>
      <c r="E38" t="inlineStr">
        <is>
          <t>2026-09</t>
        </is>
      </c>
      <c r="F38" s="8">
        <v>6</v>
      </c>
      <c r="G38" t="inlineStr">
        <is>
          <t>2027-03</t>
        </is>
      </c>
      <c r="H38" t="inlineStr">
        <is>
          <t>台灣加權指數</t>
        </is>
      </c>
      <c r="I38" t="inlineStr">
        <is>
          <t>eq_twii</t>
        </is>
      </c>
      <c r="J38" s="7">
        <v>3.08</v>
      </c>
      <c r="K38" s="7">
        <v>17.72</v>
      </c>
      <c r="L38" s="8">
        <v>375</v>
      </c>
      <c r="M38" s="7">
        <v>7.62</v>
      </c>
      <c r="N38" s="7">
        <v>3.98</v>
      </c>
      <c r="O38" s="7">
        <v>41.86</v>
      </c>
      <c r="P38" s="7">
        <v>32.5</v>
      </c>
      <c r="Q38" s="7">
        <v>25.64</v>
      </c>
      <c r="R38" t="inlineStr">
        <is>
          <t>漲</t>
        </is>
      </c>
      <c r="S38" t="inlineStr">
        <is>
          <t>校準後：平常 +3.08% ＋ 模型超額 +0.90%</t>
        </is>
      </c>
      <c r="T38" s="7">
        <v>22.0</v>
      </c>
      <c r="U38" t="inlineStr">
        <is>
          <t>漲</t>
        </is>
      </c>
      <c r="V38" t="inlineStr">
        <is>
          <t>跨鏈下一波</t>
        </is>
      </c>
      <c r="W38" t="inlineStr">
        <is>
          <t>台股上漲</t>
        </is>
      </c>
      <c r="X38" t="inlineStr">
        <is>
          <t>cycle_twii</t>
        </is>
      </c>
      <c r="Y38" s="7">
        <v>93.0</v>
      </c>
      <c r="Z38" s="7">
        <v>71.0</v>
      </c>
      <c r="AA38" s="7">
        <v>9.9</v>
      </c>
      <c r="AB38" s="7">
        <v>55.12</v>
      </c>
      <c r="AC38" s="7">
        <v>28.74</v>
      </c>
      <c r="AD38" s="7">
        <v>16.14</v>
      </c>
      <c r="AE38" t="inlineStr">
        <is>
          <t>漲</t>
        </is>
      </c>
      <c r="AF38" t="inlineStr">
        <is>
          <t>相似時點 11 段（24 個月）之後 6 個月的中位報酬</t>
        </is>
      </c>
      <c r="AG38" s="7">
        <v>3.5</v>
      </c>
      <c r="AH38" s="7">
        <v>40.81</v>
      </c>
      <c r="AI38" s="7">
        <v>32.67</v>
      </c>
      <c r="AJ38" s="7">
        <v>26.52</v>
      </c>
      <c r="AK38" t="inlineStr">
        <is>
          <t>漲</t>
        </is>
      </c>
      <c r="AL38" t="inlineStr">
        <is>
          <t>10 年位階 100.0%（最高 20%），這一組歷史 8 段之後 6 個月的中位報酬</t>
        </is>
      </c>
      <c r="AM38" t="inlineStr">
        <is>
          <t>漲</t>
        </is>
      </c>
      <c r="AN38" s="8">
        <v>4</v>
      </c>
      <c r="AO38" s="8">
        <v>0</v>
      </c>
      <c r="AP38" s="8">
        <v>0</v>
      </c>
      <c r="AQ38" t="inlineStr">
        <is>
          <t>4／4 面同向</t>
        </is>
      </c>
      <c r="AR38" s="7">
        <v>45.93</v>
      </c>
      <c r="AS38" s="7">
        <v>31.3</v>
      </c>
      <c r="AT38" s="7">
        <v>22.77</v>
      </c>
      <c r="AU38" s="8">
        <v>3</v>
      </c>
      <c r="AV38" t="inlineStr">
        <is>
          <t>漲</t>
        </is>
      </c>
      <c r="AW38" s="7">
        <v>4.69</v>
      </c>
      <c r="AX38" t="inlineStr">
        <is>
          <t>校準後集成</t>
        </is>
      </c>
      <c r="AY38" s="7">
        <v>43.43</v>
      </c>
      <c r="AZ38" s="7">
        <v>32.21</v>
      </c>
      <c r="BA38" s="7">
        <v>24.36</v>
      </c>
      <c r="BB38" t="inlineStr">
        <is>
          <t>漲</t>
        </is>
      </c>
      <c r="BC38" s="7">
        <v>-16.51</v>
      </c>
      <c r="BD38" s="7">
        <v>25.66</v>
      </c>
      <c r="BE38" s="7">
        <v>6.1</v>
      </c>
      <c r="BF38" s="7">
        <v>16.71</v>
      </c>
      <c r="BG38" t="inlineStr">
        <is>
          <t>總經面 +3.98%（P漲 42%／P跌 26% → 漲）、產業鏈面「台股上漲」機率 93%、平常 71%（漲）、歷史類比面 +9.90%（P漲 55%／P跌 16% → 漲）、位階面 +3.50%（P漲 41%／P跌 27% → 漲）；持平帶 ±7.62%（σ_h 17.72%×0.43），各面假設實際報酬是以預估值為中心、σ_h 為標準差的常態。投票 漲 4，綜合判斷漲（4／4 面同向）；綜合機率 P漲 46%／P跌 23%（3 面平均）→ 漲。幅度推演：預測報酬 +4.69%（P漲 43%／P跌 24% → 漲），80% 結果區間 -16.51～+25.66%。</t>
        </is>
      </c>
      <c r="BH38" t="inlineStr">
        <is>
          <t>未到期</t>
        </is>
      </c>
    </row>
    <row r="39">
      <c r="A39" t="inlineStr">
        <is>
          <t>SC-2026-09-eq_n225-H6</t>
        </is>
      </c>
      <c r="B39" t="inlineStr">
        <is>
          <t>SC-2026-09</t>
        </is>
      </c>
      <c r="C39" t="inlineStr">
        <is>
          <t>2026-10-12</t>
        </is>
      </c>
      <c r="D39" t="inlineStr">
        <is>
          <t>2026-09</t>
        </is>
      </c>
      <c r="E39" t="inlineStr">
        <is>
          <t>2026-09</t>
        </is>
      </c>
      <c r="F39" s="8">
        <v>6</v>
      </c>
      <c r="G39" t="inlineStr">
        <is>
          <t>2027-03</t>
        </is>
      </c>
      <c r="H39" t="inlineStr">
        <is>
          <t>日經 225（參考）</t>
        </is>
      </c>
      <c r="I39" t="inlineStr">
        <is>
          <t>eq_n225</t>
        </is>
      </c>
      <c r="J39" s="7">
        <v>2.22</v>
      </c>
      <c r="K39" s="7">
        <v>15.14</v>
      </c>
      <c r="L39" s="8">
        <v>375</v>
      </c>
      <c r="M39" s="7">
        <v>6.51</v>
      </c>
      <c r="N39" s="7">
        <v>2.76</v>
      </c>
      <c r="O39" s="7">
        <v>40.22</v>
      </c>
      <c r="P39" s="7">
        <v>32.76</v>
      </c>
      <c r="Q39" s="7">
        <v>27.02</v>
      </c>
      <c r="R39" t="inlineStr">
        <is>
          <t>漲</t>
        </is>
      </c>
      <c r="S39" t="inlineStr">
        <is>
          <t>校準後：平常 +2.22% ＋ 模型超額 +0.54%</t>
        </is>
      </c>
      <c r="U39" t="inlineStr">
        <is>
          <t>無訊號</t>
        </is>
      </c>
      <c r="AA39" s="7">
        <v>4.9</v>
      </c>
      <c r="AB39" s="7">
        <v>45.77</v>
      </c>
      <c r="AC39" s="7">
        <v>31.68</v>
      </c>
      <c r="AD39" s="7">
        <v>22.55</v>
      </c>
      <c r="AE39" t="inlineStr">
        <is>
          <t>漲</t>
        </is>
      </c>
      <c r="AF39" t="inlineStr">
        <is>
          <t>相似時點 11 段（24 個月）之後 6 個月的中位報酬</t>
        </is>
      </c>
      <c r="AG39" s="7">
        <v>2.5</v>
      </c>
      <c r="AH39" s="7">
        <v>39.56</v>
      </c>
      <c r="AI39" s="7">
        <v>32.85</v>
      </c>
      <c r="AJ39" s="7">
        <v>27.59</v>
      </c>
      <c r="AK39" t="inlineStr">
        <is>
          <t>持平</t>
        </is>
      </c>
      <c r="AL39" t="inlineStr">
        <is>
          <t>10 年位階 99.0%（最高 20%），這一組歷史 7 段之後 6 個月的中位報酬</t>
        </is>
      </c>
      <c r="AM39" t="inlineStr">
        <is>
          <t>漲</t>
        </is>
      </c>
      <c r="AN39" s="8">
        <v>2</v>
      </c>
      <c r="AO39" s="8">
        <v>1</v>
      </c>
      <c r="AP39" s="8">
        <v>0</v>
      </c>
      <c r="AQ39" t="inlineStr">
        <is>
          <t>2／3 面同向</t>
        </is>
      </c>
      <c r="AR39" s="7">
        <v>41.85</v>
      </c>
      <c r="AS39" s="7">
        <v>32.43</v>
      </c>
      <c r="AT39" s="7">
        <v>25.72</v>
      </c>
      <c r="AU39" s="8">
        <v>3</v>
      </c>
      <c r="AV39" t="inlineStr">
        <is>
          <t>漲</t>
        </is>
      </c>
      <c r="AW39" s="7">
        <v>3.05</v>
      </c>
      <c r="AX39" t="inlineStr">
        <is>
          <t>校準後集成</t>
        </is>
      </c>
      <c r="AY39" s="7">
        <v>40.96</v>
      </c>
      <c r="AZ39" s="7">
        <v>32.65</v>
      </c>
      <c r="BA39" s="7">
        <v>26.39</v>
      </c>
      <c r="BB39" t="inlineStr">
        <is>
          <t>漲</t>
        </is>
      </c>
      <c r="BC39" s="7">
        <v>-15.86</v>
      </c>
      <c r="BD39" s="7">
        <v>22.06</v>
      </c>
      <c r="BE39" s="7">
        <v>2.51</v>
      </c>
      <c r="BF39" s="7">
        <v>11.67</v>
      </c>
      <c r="BG39" t="inlineStr">
        <is>
          <t>總經面 +2.76%（P漲 40%／P跌 27% → 漲）、產業鏈面 無訊號、歷史類比面 +4.90%（P漲 46%／P跌 23% → 漲）、位階面 +2.50%（P漲 40%／P跌 28% → 持平）；持平帶 ±6.51%（σ_h 15.14%×0.43），各面假設實際報酬是以預估值為中心、σ_h 為標準差的常態。投票 漲 2、持平 1，綜合判斷漲（2／3 面同向）；綜合機率 P漲 42%／P跌 26%（3 面平均）→ 漲。幅度推演：預測報酬 +3.05%（P漲 41%／P跌 26% → 漲），80% 結果區間 -15.86～+22.06%。</t>
        </is>
      </c>
      <c r="BH39" t="inlineStr">
        <is>
          <t>未到期</t>
        </is>
      </c>
    </row>
    <row r="40">
      <c r="A40" t="inlineStr">
        <is>
          <t>SC-2026-09-eq_sse-H6</t>
        </is>
      </c>
      <c r="B40" t="inlineStr">
        <is>
          <t>SC-2026-09</t>
        </is>
      </c>
      <c r="C40" t="inlineStr">
        <is>
          <t>2026-10-12</t>
        </is>
      </c>
      <c r="D40" t="inlineStr">
        <is>
          <t>2026-09</t>
        </is>
      </c>
      <c r="E40" t="inlineStr">
        <is>
          <t>2026-09</t>
        </is>
      </c>
      <c r="F40" s="8">
        <v>6</v>
      </c>
      <c r="G40" t="inlineStr">
        <is>
          <t>2027-03</t>
        </is>
      </c>
      <c r="H40" t="inlineStr">
        <is>
          <t>上證指數（參考）</t>
        </is>
      </c>
      <c r="I40" t="inlineStr">
        <is>
          <t>eq_sse</t>
        </is>
      </c>
      <c r="J40" s="7">
        <v>2.13</v>
      </c>
      <c r="K40" s="7">
        <v>20.27</v>
      </c>
      <c r="L40" s="8">
        <v>345</v>
      </c>
      <c r="M40" s="7">
        <v>8.72</v>
      </c>
      <c r="N40" s="7">
        <v>2.82</v>
      </c>
      <c r="O40" s="7">
        <v>38.55</v>
      </c>
      <c r="P40" s="7">
        <v>32.99</v>
      </c>
      <c r="Q40" s="7">
        <v>28.46</v>
      </c>
      <c r="R40" t="inlineStr">
        <is>
          <t>持平</t>
        </is>
      </c>
      <c r="S40" t="inlineStr">
        <is>
          <t>校準後：平常 +2.13% ＋ 模型超額 +0.69%</t>
        </is>
      </c>
      <c r="U40" t="inlineStr">
        <is>
          <t>無訊號</t>
        </is>
      </c>
      <c r="AA40" s="7">
        <v>5.47</v>
      </c>
      <c r="AB40" s="7">
        <v>43.63</v>
      </c>
      <c r="AC40" s="7">
        <v>32.18</v>
      </c>
      <c r="AD40" s="7">
        <v>24.19</v>
      </c>
      <c r="AE40" t="inlineStr">
        <is>
          <t>漲</t>
        </is>
      </c>
      <c r="AF40" t="inlineStr">
        <is>
          <t>沒有確切標的資料：平常 +2.13% ＋ 相似時點中位超額 +3.34%</t>
        </is>
      </c>
      <c r="AK40" t="inlineStr">
        <is>
          <t>無訊號</t>
        </is>
      </c>
      <c r="AL40" t="inlineStr">
        <is>
          <t>沒有位階資料</t>
        </is>
      </c>
      <c r="AM40" t="inlineStr">
        <is>
          <t>持平</t>
        </is>
      </c>
      <c r="AN40" s="8">
        <v>1</v>
      </c>
      <c r="AO40" s="8">
        <v>1</v>
      </c>
      <c r="AP40" s="8">
        <v>0</v>
      </c>
      <c r="AQ40" t="inlineStr">
        <is>
          <t>平手（漲 1、持平 1）</t>
        </is>
      </c>
      <c r="AR40" s="7">
        <v>41.09</v>
      </c>
      <c r="AS40" s="7">
        <v>32.59</v>
      </c>
      <c r="AT40" s="7">
        <v>26.33</v>
      </c>
      <c r="AU40" s="8">
        <v>2</v>
      </c>
      <c r="AV40" t="inlineStr">
        <is>
          <t>漲</t>
        </is>
      </c>
      <c r="AW40" s="7">
        <v>3.23</v>
      </c>
      <c r="AX40" t="inlineStr">
        <is>
          <t>校準後集成</t>
        </is>
      </c>
      <c r="AY40" s="7">
        <v>39.33</v>
      </c>
      <c r="AZ40" s="7">
        <v>32.9</v>
      </c>
      <c r="BA40" s="7">
        <v>27.77</v>
      </c>
      <c r="BB40" t="inlineStr">
        <is>
          <t>持平</t>
        </is>
      </c>
      <c r="BC40" s="7">
        <v>-16.94</v>
      </c>
      <c r="BD40" s="7">
        <v>28.63</v>
      </c>
      <c r="BE40" s="7">
        <v>2.32</v>
      </c>
      <c r="BF40" s="7">
        <v>15.21</v>
      </c>
      <c r="BG40" t="inlineStr">
        <is>
          <t>總經面 +2.82%（P漲 39%／P跌 28% → 持平）、產業鏈面 無訊號、歷史類比面 +5.47%（P漲 44%／P跌 24% → 漲）、位階面 無訊號；持平帶 ±8.72%（σ_h 20.27%×0.43），各面假設實際報酬是以預估值為中心、σ_h 為標準差的常態。投票 漲 1、持平 1 平手，綜合記為持平；綜合機率 P漲 41%／P跌 26%（2 面平均）→ 漲。幅度推演：預測報酬 +3.23%（P漲 39%／P跌 28% → 持平），80% 結果區間 -16.94～+28.63%。</t>
        </is>
      </c>
      <c r="BH40" t="inlineStr">
        <is>
          <t>未到期</t>
        </is>
      </c>
    </row>
    <row r="41">
      <c r="A41" t="inlineStr">
        <is>
          <t>SC-2026-09-b_ust_long-H6</t>
        </is>
      </c>
      <c r="B41" t="inlineStr">
        <is>
          <t>SC-2026-09</t>
        </is>
      </c>
      <c r="C41" t="inlineStr">
        <is>
          <t>2026-10-12</t>
        </is>
      </c>
      <c r="D41" t="inlineStr">
        <is>
          <t>2026-09</t>
        </is>
      </c>
      <c r="E41" t="inlineStr">
        <is>
          <t>2026-09</t>
        </is>
      </c>
      <c r="F41" s="8">
        <v>6</v>
      </c>
      <c r="G41" t="inlineStr">
        <is>
          <t>2027-03</t>
        </is>
      </c>
      <c r="H41" t="inlineStr">
        <is>
          <t>美國長天期公債基金 VUSTX</t>
        </is>
      </c>
      <c r="I41" t="inlineStr">
        <is>
          <t>b_ust_long</t>
        </is>
      </c>
      <c r="J41" s="7">
        <v>2.35</v>
      </c>
      <c r="K41" s="7">
        <v>7.85</v>
      </c>
      <c r="L41" s="8">
        <v>375</v>
      </c>
      <c r="M41" s="7">
        <v>3.38</v>
      </c>
      <c r="N41" s="7">
        <v>2.01</v>
      </c>
      <c r="O41" s="7">
        <v>43.07</v>
      </c>
      <c r="P41" s="7">
        <v>32.31</v>
      </c>
      <c r="Q41" s="7">
        <v>24.62</v>
      </c>
      <c r="R41" t="inlineStr">
        <is>
          <t>漲</t>
        </is>
      </c>
      <c r="S41" t="inlineStr">
        <is>
          <t>校準後：平常 +2.35% ＋ 模型超額 -0.34%</t>
        </is>
      </c>
      <c r="T41" s="7">
        <v>19.0</v>
      </c>
      <c r="U41" t="inlineStr">
        <is>
          <t>漲</t>
        </is>
      </c>
      <c r="V41" t="inlineStr">
        <is>
          <t>跨鏈下一波</t>
        </is>
      </c>
      <c r="W41" t="inlineStr">
        <is>
          <t>美國長債上漲（利率下降）</t>
        </is>
      </c>
      <c r="X41" t="inlineStr">
        <is>
          <t>dollar_ust</t>
        </is>
      </c>
      <c r="Y41" s="7">
        <v>92.0</v>
      </c>
      <c r="Z41" s="7">
        <v>73.0</v>
      </c>
      <c r="AA41" s="7">
        <v>4.4</v>
      </c>
      <c r="AB41" s="7">
        <v>55.17</v>
      </c>
      <c r="AC41" s="7">
        <v>28.75</v>
      </c>
      <c r="AD41" s="7">
        <v>16.08</v>
      </c>
      <c r="AE41" t="inlineStr">
        <is>
          <t>漲</t>
        </is>
      </c>
      <c r="AF41" t="inlineStr">
        <is>
          <t>相似時點 11 段（24 個月）之後 6 個月的中位報酬</t>
        </is>
      </c>
      <c r="AK41" t="inlineStr">
        <is>
          <t>無訊號</t>
        </is>
      </c>
      <c r="AL41" t="inlineStr">
        <is>
          <t>10 年位階 3.0%（最低 20%）這一組只有 2 段（少於 3 段）</t>
        </is>
      </c>
      <c r="AM41" t="inlineStr">
        <is>
          <t>漲</t>
        </is>
      </c>
      <c r="AN41" s="8">
        <v>3</v>
      </c>
      <c r="AO41" s="8">
        <v>0</v>
      </c>
      <c r="AP41" s="8">
        <v>0</v>
      </c>
      <c r="AQ41" t="inlineStr">
        <is>
          <t>3／3 面同向</t>
        </is>
      </c>
      <c r="AR41" s="7">
        <v>49.12</v>
      </c>
      <c r="AS41" s="7">
        <v>30.53</v>
      </c>
      <c r="AT41" s="7">
        <v>20.35</v>
      </c>
      <c r="AU41" s="8">
        <v>2</v>
      </c>
      <c r="AV41" t="inlineStr">
        <is>
          <t>漲</t>
        </is>
      </c>
      <c r="AW41" s="7">
        <v>2.14</v>
      </c>
      <c r="AX41" t="inlineStr">
        <is>
          <t>校準後集成</t>
        </is>
      </c>
      <c r="AY41" s="7">
        <v>43.72</v>
      </c>
      <c r="AZ41" s="7">
        <v>32.18</v>
      </c>
      <c r="BA41" s="7">
        <v>24.1</v>
      </c>
      <c r="BB41" t="inlineStr">
        <is>
          <t>漲</t>
        </is>
      </c>
      <c r="BC41" s="7">
        <v>-7.3</v>
      </c>
      <c r="BD41" s="7">
        <v>10.92</v>
      </c>
      <c r="BE41" s="7">
        <v>-2.98</v>
      </c>
      <c r="BF41" s="7">
        <v>2.41</v>
      </c>
      <c r="BG41" t="inlineStr">
        <is>
          <t>總經面 +2.01%（P漲 43%／P跌 25% → 漲）、產業鏈面「美國長債上漲（利率下降）」機率 92%、平常 73%（漲）、歷史類比面 +4.40%（P漲 55%／P跌 16% → 漲）、位階面 無訊號；持平帶 ±3.38%（σ_h 7.85%×0.43），各面假設實際報酬是以預估值為中心、σ_h 為標準差的常態。投票 漲 3，綜合判斷漲（3／3 面同向）；綜合機率 P漲 49%／P跌 20%（2 面平均）→ 漲。幅度推演：預測報酬 +2.14%（P漲 44%／P跌 24% → 漲），80% 結果區間 -7.30～+10.92%。</t>
        </is>
      </c>
      <c r="BH41" t="inlineStr">
        <is>
          <t>未到期</t>
        </is>
      </c>
    </row>
    <row r="42">
      <c r="A42" t="inlineStr">
        <is>
          <t>SC-2026-09-b_ig-H6</t>
        </is>
      </c>
      <c r="B42" t="inlineStr">
        <is>
          <t>SC-2026-09</t>
        </is>
      </c>
      <c r="C42" t="inlineStr">
        <is>
          <t>2026-10-12</t>
        </is>
      </c>
      <c r="D42" t="inlineStr">
        <is>
          <t>2026-09</t>
        </is>
      </c>
      <c r="E42" t="inlineStr">
        <is>
          <t>2026-09</t>
        </is>
      </c>
      <c r="F42" s="8">
        <v>6</v>
      </c>
      <c r="G42" t="inlineStr">
        <is>
          <t>2027-03</t>
        </is>
      </c>
      <c r="H42" t="inlineStr">
        <is>
          <t>投資級公司債基金 VWESX</t>
        </is>
      </c>
      <c r="I42" t="inlineStr">
        <is>
          <t>b_ig</t>
        </is>
      </c>
      <c r="J42" s="7">
        <v>2.76</v>
      </c>
      <c r="K42" s="7">
        <v>6.48</v>
      </c>
      <c r="L42" s="8">
        <v>375</v>
      </c>
      <c r="M42" s="7">
        <v>2.79</v>
      </c>
      <c r="N42" s="7">
        <v>2.54</v>
      </c>
      <c r="O42" s="7">
        <v>48.46</v>
      </c>
      <c r="P42" s="7">
        <v>31.0</v>
      </c>
      <c r="Q42" s="7">
        <v>20.54</v>
      </c>
      <c r="R42" t="inlineStr">
        <is>
          <t>漲</t>
        </is>
      </c>
      <c r="S42" t="inlineStr">
        <is>
          <t>校準後：平常 +2.76% ＋ 模型超額 -0.22%</t>
        </is>
      </c>
      <c r="U42" t="inlineStr">
        <is>
          <t>無訊號</t>
        </is>
      </c>
      <c r="AA42" s="7">
        <v>5.9</v>
      </c>
      <c r="AB42" s="7">
        <v>68.44</v>
      </c>
      <c r="AC42" s="7">
        <v>22.56</v>
      </c>
      <c r="AD42" s="7">
        <v>9.0</v>
      </c>
      <c r="AE42" t="inlineStr">
        <is>
          <t>漲</t>
        </is>
      </c>
      <c r="AF42" t="inlineStr">
        <is>
          <t>相似時點 11 段（24 個月）之後 6 個月的中位報酬</t>
        </is>
      </c>
      <c r="AG42" s="7">
        <v>4.8</v>
      </c>
      <c r="AH42" s="7">
        <v>62.18</v>
      </c>
      <c r="AI42" s="7">
        <v>25.75</v>
      </c>
      <c r="AJ42" s="7">
        <v>12.07</v>
      </c>
      <c r="AK42" t="inlineStr">
        <is>
          <t>漲</t>
        </is>
      </c>
      <c r="AL42" t="inlineStr">
        <is>
          <t>10 年位階 41.0%（40～60%），這一組歷史 6 段之後 6 個月的中位報酬</t>
        </is>
      </c>
      <c r="AM42" t="inlineStr">
        <is>
          <t>漲</t>
        </is>
      </c>
      <c r="AN42" s="8">
        <v>3</v>
      </c>
      <c r="AO42" s="8">
        <v>0</v>
      </c>
      <c r="AP42" s="8">
        <v>0</v>
      </c>
      <c r="AQ42" t="inlineStr">
        <is>
          <t>3／3 面同向</t>
        </is>
      </c>
      <c r="AR42" s="7">
        <v>59.69</v>
      </c>
      <c r="AS42" s="7">
        <v>26.44</v>
      </c>
      <c r="AT42" s="7">
        <v>13.87</v>
      </c>
      <c r="AU42" s="8">
        <v>3</v>
      </c>
      <c r="AV42" t="inlineStr">
        <is>
          <t>漲</t>
        </is>
      </c>
      <c r="AW42" s="7">
        <v>2.78</v>
      </c>
      <c r="AX42" t="inlineStr">
        <is>
          <t>校準後集成</t>
        </is>
      </c>
      <c r="AY42" s="7">
        <v>49.94</v>
      </c>
      <c r="AZ42" s="7">
        <v>30.56</v>
      </c>
      <c r="BA42" s="7">
        <v>19.5</v>
      </c>
      <c r="BB42" t="inlineStr">
        <is>
          <t>漲</t>
        </is>
      </c>
      <c r="BC42" s="7">
        <v>-4.75</v>
      </c>
      <c r="BD42" s="7">
        <v>10.21</v>
      </c>
      <c r="BE42" s="7">
        <v>-1.13</v>
      </c>
      <c r="BF42" s="7">
        <v>3.55</v>
      </c>
      <c r="BG42" t="inlineStr">
        <is>
          <t>總經面 +2.54%（P漲 48%／P跌 21% → 漲）、產業鏈面 無訊號、歷史類比面 +5.90%（P漲 68%／P跌 9% → 漲）、位階面 +4.80%（P漲 62%／P跌 12% → 漲）；持平帶 ±2.79%（σ_h 6.48%×0.43），各面假設實際報酬是以預估值為中心、σ_h 為標準差的常態。投票 漲 3，綜合判斷漲（3／3 面同向）；綜合機率 P漲 60%／P跌 14%（3 面平均）→ 漲。幅度推演：預測報酬 +2.78%（P漲 50%／P跌 20% → 漲），80% 結果區間 -4.75～+10.21%。</t>
        </is>
      </c>
      <c r="BH42" t="inlineStr">
        <is>
          <t>未到期</t>
        </is>
      </c>
    </row>
    <row r="43">
      <c r="A43" t="inlineStr">
        <is>
          <t>SC-2026-09-b_hy-H6</t>
        </is>
      </c>
      <c r="B43" t="inlineStr">
        <is>
          <t>SC-2026-09</t>
        </is>
      </c>
      <c r="C43" t="inlineStr">
        <is>
          <t>2026-10-12</t>
        </is>
      </c>
      <c r="D43" t="inlineStr">
        <is>
          <t>2026-09</t>
        </is>
      </c>
      <c r="E43" t="inlineStr">
        <is>
          <t>2026-09</t>
        </is>
      </c>
      <c r="F43" s="8">
        <v>6</v>
      </c>
      <c r="G43" t="inlineStr">
        <is>
          <t>2027-03</t>
        </is>
      </c>
      <c r="H43" t="inlineStr">
        <is>
          <t>高收益公司債基金 VWEHX</t>
        </is>
      </c>
      <c r="I43" t="inlineStr">
        <is>
          <t>b_hy</t>
        </is>
      </c>
      <c r="J43" s="7">
        <v>2.93</v>
      </c>
      <c r="K43" s="7">
        <v>5.42</v>
      </c>
      <c r="L43" s="8">
        <v>375</v>
      </c>
      <c r="M43" s="7">
        <v>2.33</v>
      </c>
      <c r="N43" s="7">
        <v>3.04</v>
      </c>
      <c r="O43" s="7">
        <v>55.21</v>
      </c>
      <c r="P43" s="7">
        <v>28.7</v>
      </c>
      <c r="Q43" s="7">
        <v>16.09</v>
      </c>
      <c r="R43" t="inlineStr">
        <is>
          <t>漲</t>
        </is>
      </c>
      <c r="S43" t="inlineStr">
        <is>
          <t>校準後：平常 +2.93% ＋ 模型超額 +0.11%</t>
        </is>
      </c>
      <c r="T43" s="7">
        <v>0.0</v>
      </c>
      <c r="U43" t="inlineStr">
        <is>
          <t>無訊號</t>
        </is>
      </c>
      <c r="V43" t="inlineStr">
        <is>
          <t>景氣擴張</t>
        </is>
      </c>
      <c r="W43" t="inlineStr">
        <is>
          <t>高收益債上漲（市場敢冒險）</t>
        </is>
      </c>
      <c r="X43" t="inlineStr">
        <is>
          <t>cycle_hy</t>
        </is>
      </c>
      <c r="Y43" s="7">
        <v>74.0</v>
      </c>
      <c r="Z43" s="7">
        <v>74.0</v>
      </c>
      <c r="AA43" s="7">
        <v>3.6</v>
      </c>
      <c r="AB43" s="7">
        <v>59.26</v>
      </c>
      <c r="AC43" s="7">
        <v>27.04</v>
      </c>
      <c r="AD43" s="7">
        <v>13.7</v>
      </c>
      <c r="AE43" t="inlineStr">
        <is>
          <t>漲</t>
        </is>
      </c>
      <c r="AF43" t="inlineStr">
        <is>
          <t>相似時點 11 段（24 個月）之後 6 個月的中位報酬</t>
        </is>
      </c>
      <c r="AG43" s="7">
        <v>2.4</v>
      </c>
      <c r="AH43" s="7">
        <v>50.52</v>
      </c>
      <c r="AI43" s="7">
        <v>30.34</v>
      </c>
      <c r="AJ43" s="7">
        <v>19.14</v>
      </c>
      <c r="AK43" t="inlineStr">
        <is>
          <t>漲</t>
        </is>
      </c>
      <c r="AL43" t="inlineStr">
        <is>
          <t>10 年位階 91.0%（最高 20%），這一組歷史 4 段之後 6 個月的中位報酬</t>
        </is>
      </c>
      <c r="AM43" t="inlineStr">
        <is>
          <t>漲</t>
        </is>
      </c>
      <c r="AN43" s="8">
        <v>3</v>
      </c>
      <c r="AO43" s="8">
        <v>0</v>
      </c>
      <c r="AP43" s="8">
        <v>0</v>
      </c>
      <c r="AQ43" t="inlineStr">
        <is>
          <t>3／3 面同向</t>
        </is>
      </c>
      <c r="AR43" s="7">
        <v>55.0</v>
      </c>
      <c r="AS43" s="7">
        <v>28.69</v>
      </c>
      <c r="AT43" s="7">
        <v>16.31</v>
      </c>
      <c r="AU43" s="8">
        <v>3</v>
      </c>
      <c r="AV43" t="inlineStr">
        <is>
          <t>漲</t>
        </is>
      </c>
      <c r="AW43" s="7">
        <v>3.11</v>
      </c>
      <c r="AX43" t="inlineStr">
        <is>
          <t>校準後集成</t>
        </is>
      </c>
      <c r="AY43" s="7">
        <v>55.72</v>
      </c>
      <c r="AZ43" s="7">
        <v>28.5</v>
      </c>
      <c r="BA43" s="7">
        <v>15.78</v>
      </c>
      <c r="BB43" t="inlineStr">
        <is>
          <t>漲</t>
        </is>
      </c>
      <c r="BC43" s="7">
        <v>-1.97</v>
      </c>
      <c r="BD43" s="7">
        <v>7.99</v>
      </c>
      <c r="BE43" s="7">
        <v>2.19</v>
      </c>
      <c r="BF43" s="7">
        <v>5.87</v>
      </c>
      <c r="BG43" t="inlineStr">
        <is>
          <t>總經面 +3.04%（P漲 55%／P跌 16% → 漲）、產業鏈面「高收益債上漲（市場敢冒險）」機率 74%、平常 74%（無訊號）、歷史類比面 +3.60%（P漲 59%／P跌 14% → 漲）、位階面 +2.40%（P漲 51%／P跌 19% → 漲）；持平帶 ±2.33%（σ_h 5.42%×0.43），各面假設實際報酬是以預估值為中心、σ_h 為標準差的常態。投票 漲 3，綜合判斷漲（3／3 面同向）；綜合機率 P漲 55%／P跌 16%（3 面平均）→ 漲。幅度推演：預測報酬 +3.11%（P漲 56%／P跌 16% → 漲），80% 結果區間 -1.97～+7.99%。</t>
        </is>
      </c>
      <c r="BH43" t="inlineStr">
        <is>
          <t>未到期</t>
        </is>
      </c>
    </row>
    <row r="44">
      <c r="A44" t="inlineStr">
        <is>
          <t>SC-2026-09-b_brk-H6</t>
        </is>
      </c>
      <c r="B44" t="inlineStr">
        <is>
          <t>SC-2026-09</t>
        </is>
      </c>
      <c r="C44" t="inlineStr">
        <is>
          <t>2026-10-12</t>
        </is>
      </c>
      <c r="D44" t="inlineStr">
        <is>
          <t>2026-09</t>
        </is>
      </c>
      <c r="E44" t="inlineStr">
        <is>
          <t>2026-09</t>
        </is>
      </c>
      <c r="F44" s="8">
        <v>6</v>
      </c>
      <c r="G44" t="inlineStr">
        <is>
          <t>2027-03</t>
        </is>
      </c>
      <c r="H44" t="inlineStr">
        <is>
          <t>波克夏 BRK-A</t>
        </is>
      </c>
      <c r="I44" t="inlineStr">
        <is>
          <t>b_brk</t>
        </is>
      </c>
      <c r="J44" s="7">
        <v>5.56</v>
      </c>
      <c r="K44" s="7">
        <v>12.73</v>
      </c>
      <c r="L44" s="8">
        <v>375</v>
      </c>
      <c r="M44" s="7">
        <v>5.47</v>
      </c>
      <c r="N44" s="7">
        <v>5.39</v>
      </c>
      <c r="O44" s="7">
        <v>49.75</v>
      </c>
      <c r="P44" s="7">
        <v>30.57</v>
      </c>
      <c r="Q44" s="7">
        <v>19.68</v>
      </c>
      <c r="R44" t="inlineStr">
        <is>
          <t>漲</t>
        </is>
      </c>
      <c r="S44" t="inlineStr">
        <is>
          <t>校準後：平常 +5.56% ＋ 模型超額 -0.17%</t>
        </is>
      </c>
      <c r="U44" t="inlineStr">
        <is>
          <t>無訊號</t>
        </is>
      </c>
      <c r="AA44" s="7">
        <v>5.8</v>
      </c>
      <c r="AB44" s="7">
        <v>51.03</v>
      </c>
      <c r="AC44" s="7">
        <v>30.17</v>
      </c>
      <c r="AD44" s="7">
        <v>18.8</v>
      </c>
      <c r="AE44" t="inlineStr">
        <is>
          <t>漲</t>
        </is>
      </c>
      <c r="AF44" t="inlineStr">
        <is>
          <t>相似時點 11 段（24 個月）之後 6 個月的中位報酬</t>
        </is>
      </c>
      <c r="AG44" s="7">
        <v>4.6</v>
      </c>
      <c r="AH44" s="7">
        <v>47.28</v>
      </c>
      <c r="AI44" s="7">
        <v>31.27</v>
      </c>
      <c r="AJ44" s="7">
        <v>21.45</v>
      </c>
      <c r="AK44" t="inlineStr">
        <is>
          <t>漲</t>
        </is>
      </c>
      <c r="AL44" t="inlineStr">
        <is>
          <t>10 年位階 90.0%（最高 20%），這一組歷史 6 段之後 6 個月的中位報酬</t>
        </is>
      </c>
      <c r="AM44" t="inlineStr">
        <is>
          <t>漲</t>
        </is>
      </c>
      <c r="AN44" s="8">
        <v>3</v>
      </c>
      <c r="AO44" s="8">
        <v>0</v>
      </c>
      <c r="AP44" s="8">
        <v>0</v>
      </c>
      <c r="AQ44" t="inlineStr">
        <is>
          <t>3／3 面同向</t>
        </is>
      </c>
      <c r="AR44" s="7">
        <v>49.35</v>
      </c>
      <c r="AS44" s="7">
        <v>30.67</v>
      </c>
      <c r="AT44" s="7">
        <v>19.98</v>
      </c>
      <c r="AU44" s="8">
        <v>3</v>
      </c>
      <c r="AV44" t="inlineStr">
        <is>
          <t>漲</t>
        </is>
      </c>
      <c r="AW44" s="7">
        <v>5.34</v>
      </c>
      <c r="AX44" t="inlineStr">
        <is>
          <t>校準後集成</t>
        </is>
      </c>
      <c r="AY44" s="7">
        <v>49.59</v>
      </c>
      <c r="AZ44" s="7">
        <v>30.62</v>
      </c>
      <c r="BA44" s="7">
        <v>19.79</v>
      </c>
      <c r="BB44" t="inlineStr">
        <is>
          <t>漲</t>
        </is>
      </c>
      <c r="BC44" s="7">
        <v>-9.9</v>
      </c>
      <c r="BD44" s="7">
        <v>19.31</v>
      </c>
      <c r="BE44" s="7">
        <v>-2.48</v>
      </c>
      <c r="BF44" s="7">
        <v>7.65</v>
      </c>
      <c r="BG44" t="inlineStr">
        <is>
          <t>總經面 +5.39%（P漲 50%／P跌 20% → 漲）、產業鏈面 無訊號、歷史類比面 +5.80%（P漲 51%／P跌 19% → 漲）、位階面 +4.60%（P漲 47%／P跌 21% → 漲）；持平帶 ±5.47%（σ_h 12.73%×0.43），各面假設實際報酬是以預估值為中心、σ_h 為標準差的常態。投票 漲 3，綜合判斷漲（3／3 面同向）；綜合機率 P漲 49%／P跌 20%（3 面平均）→ 漲。幅度推演：預測報酬 +5.34%（P漲 50%／P跌 20% → 漲），80% 結果區間 -9.90～+19.31%。</t>
        </is>
      </c>
      <c r="BH44" t="inlineStr">
        <is>
          <t>未到期</t>
        </is>
      </c>
    </row>
    <row r="45">
      <c r="A45" t="inlineStr">
        <is>
          <t>SC-2026-09-c_gold-H6</t>
        </is>
      </c>
      <c r="B45" t="inlineStr">
        <is>
          <t>SC-2026-09</t>
        </is>
      </c>
      <c r="C45" t="inlineStr">
        <is>
          <t>2026-10-12</t>
        </is>
      </c>
      <c r="D45" t="inlineStr">
        <is>
          <t>2026-09</t>
        </is>
      </c>
      <c r="E45" t="inlineStr">
        <is>
          <t>2026-09</t>
        </is>
      </c>
      <c r="F45" s="8">
        <v>6</v>
      </c>
      <c r="G45" t="inlineStr">
        <is>
          <t>2027-04</t>
        </is>
      </c>
      <c r="H45" t="inlineStr">
        <is>
          <t>黃金</t>
        </is>
      </c>
      <c r="I45" t="inlineStr">
        <is>
          <t>c_gold</t>
        </is>
      </c>
      <c r="J45" s="7">
        <v>3.9</v>
      </c>
      <c r="K45" s="7">
        <v>10.46</v>
      </c>
      <c r="L45" s="8">
        <v>374</v>
      </c>
      <c r="M45" s="7">
        <v>4.5</v>
      </c>
      <c r="N45" s="7">
        <v>3.78</v>
      </c>
      <c r="O45" s="7">
        <v>47.26</v>
      </c>
      <c r="P45" s="7">
        <v>31.31</v>
      </c>
      <c r="Q45" s="7">
        <v>21.43</v>
      </c>
      <c r="R45" t="inlineStr">
        <is>
          <t>漲</t>
        </is>
      </c>
      <c r="S45" t="inlineStr">
        <is>
          <t>校準後：平常 +3.90% ＋ 模型超額 -0.12%</t>
        </is>
      </c>
      <c r="T45" s="7">
        <v>-3.0</v>
      </c>
      <c r="U45" t="inlineStr">
        <is>
          <t>無訊號</t>
        </is>
      </c>
      <c r="V45" t="inlineStr">
        <is>
          <t>通膨</t>
        </is>
      </c>
      <c r="W45" t="inlineStr">
        <is>
          <t>黃金上漲</t>
        </is>
      </c>
      <c r="X45" t="inlineStr">
        <is>
          <t>inflation_gold</t>
        </is>
      </c>
      <c r="Y45" s="7">
        <v>50.0</v>
      </c>
      <c r="Z45" s="7">
        <v>53.0</v>
      </c>
      <c r="AA45" s="7">
        <v>1.0</v>
      </c>
      <c r="AB45" s="7">
        <v>36.9</v>
      </c>
      <c r="AC45" s="7">
        <v>33.15</v>
      </c>
      <c r="AD45" s="7">
        <v>29.95</v>
      </c>
      <c r="AE45" t="inlineStr">
        <is>
          <t>持平</t>
        </is>
      </c>
      <c r="AF45" t="inlineStr">
        <is>
          <t>相似時點 11 段（24 個月）之後 6 個月的中位報酬</t>
        </is>
      </c>
      <c r="AG45" s="7">
        <v>7.1</v>
      </c>
      <c r="AH45" s="7">
        <v>59.82</v>
      </c>
      <c r="AI45" s="7">
        <v>26.81</v>
      </c>
      <c r="AJ45" s="7">
        <v>13.37</v>
      </c>
      <c r="AK45" t="inlineStr">
        <is>
          <t>漲</t>
        </is>
      </c>
      <c r="AL45" t="inlineStr">
        <is>
          <t>10 年位階 95.0%（最高 20%），這一組歷史 4 段之後 6 個月的中位報酬</t>
        </is>
      </c>
      <c r="AM45" t="inlineStr">
        <is>
          <t>漲</t>
        </is>
      </c>
      <c r="AN45" s="8">
        <v>2</v>
      </c>
      <c r="AO45" s="8">
        <v>1</v>
      </c>
      <c r="AP45" s="8">
        <v>0</v>
      </c>
      <c r="AQ45" t="inlineStr">
        <is>
          <t>2／3 面同向</t>
        </is>
      </c>
      <c r="AR45" s="7">
        <v>47.99</v>
      </c>
      <c r="AS45" s="7">
        <v>30.42</v>
      </c>
      <c r="AT45" s="7">
        <v>21.58</v>
      </c>
      <c r="AU45" s="8">
        <v>3</v>
      </c>
      <c r="AV45" t="inlineStr">
        <is>
          <t>漲</t>
        </is>
      </c>
      <c r="AW45" s="7">
        <v>3.47</v>
      </c>
      <c r="AX45" t="inlineStr">
        <is>
          <t>校準後集成</t>
        </is>
      </c>
      <c r="AY45" s="7">
        <v>46.08</v>
      </c>
      <c r="AZ45" s="7">
        <v>31.62</v>
      </c>
      <c r="BA45" s="7">
        <v>22.3</v>
      </c>
      <c r="BB45" t="inlineStr">
        <is>
          <t>漲</t>
        </is>
      </c>
      <c r="BC45" s="7">
        <v>-9.72</v>
      </c>
      <c r="BD45" s="7">
        <v>16.39</v>
      </c>
      <c r="BE45" s="7">
        <v>-0.02</v>
      </c>
      <c r="BF45" s="7">
        <v>6.77</v>
      </c>
      <c r="BG45" t="inlineStr">
        <is>
          <t>總經面 +3.78%（P漲 47%／P跌 21% → 漲）、產業鏈面「黃金上漲」機率 50%、平常 53%（無訊號）、歷史類比面 +1.00%（P漲 37%／P跌 30% → 持平）、位階面 +7.10%（P漲 60%／P跌 13% → 漲）；持平帶 ±4.50%（σ_h 10.46%×0.43），各面假設實際報酬是以預估值為中心、σ_h 為標準差的常態。投票 漲 2、持平 1，綜合判斷漲（2／3 面同向）；綜合機率 P漲 48%／P跌 22%（3 面平均）→ 漲。幅度推演：預測報酬 +3.47%（P漲 46%／P跌 22% → 漲），80% 結果區間 -9.72～+16.39%。</t>
        </is>
      </c>
      <c r="BH45" t="inlineStr">
        <is>
          <t>未到期</t>
        </is>
      </c>
    </row>
    <row r="46">
      <c r="A46" t="inlineStr">
        <is>
          <t>SC-2026-09-c_silver-H6</t>
        </is>
      </c>
      <c r="B46" t="inlineStr">
        <is>
          <t>SC-2026-09</t>
        </is>
      </c>
      <c r="C46" t="inlineStr">
        <is>
          <t>2026-10-12</t>
        </is>
      </c>
      <c r="D46" t="inlineStr">
        <is>
          <t>2026-09</t>
        </is>
      </c>
      <c r="E46" t="inlineStr">
        <is>
          <t>2026-09</t>
        </is>
      </c>
      <c r="F46" s="8">
        <v>6</v>
      </c>
      <c r="G46" t="inlineStr">
        <is>
          <t>2027-04</t>
        </is>
      </c>
      <c r="H46" t="inlineStr">
        <is>
          <t>白銀</t>
        </is>
      </c>
      <c r="I46" t="inlineStr">
        <is>
          <t>c_silver</t>
        </is>
      </c>
      <c r="J46" s="7">
        <v>4.14</v>
      </c>
      <c r="K46" s="7">
        <v>19.21</v>
      </c>
      <c r="L46" s="8">
        <v>374</v>
      </c>
      <c r="M46" s="7">
        <v>8.26</v>
      </c>
      <c r="N46" s="7">
        <v>4.39</v>
      </c>
      <c r="O46" s="7">
        <v>42.02</v>
      </c>
      <c r="P46" s="7">
        <v>32.47</v>
      </c>
      <c r="Q46" s="7">
        <v>25.51</v>
      </c>
      <c r="R46" t="inlineStr">
        <is>
          <t>漲</t>
        </is>
      </c>
      <c r="S46" t="inlineStr">
        <is>
          <t>校準後：平常 +4.14% ＋ 模型超額 +0.25%</t>
        </is>
      </c>
      <c r="U46" t="inlineStr">
        <is>
          <t>無訊號</t>
        </is>
      </c>
      <c r="AA46" s="7">
        <v>-1.0</v>
      </c>
      <c r="AB46" s="7">
        <v>31.49</v>
      </c>
      <c r="AC46" s="7">
        <v>33.24</v>
      </c>
      <c r="AD46" s="7">
        <v>35.27</v>
      </c>
      <c r="AE46" t="inlineStr">
        <is>
          <t>持平</t>
        </is>
      </c>
      <c r="AF46" t="inlineStr">
        <is>
          <t>相似時點 11 段（24 個月）之後 6 個月的中位報酬</t>
        </is>
      </c>
      <c r="AG46" s="7">
        <v>5.5</v>
      </c>
      <c r="AH46" s="7">
        <v>44.29</v>
      </c>
      <c r="AI46" s="7">
        <v>32.02</v>
      </c>
      <c r="AJ46" s="7">
        <v>23.69</v>
      </c>
      <c r="AK46" t="inlineStr">
        <is>
          <t>漲</t>
        </is>
      </c>
      <c r="AL46" t="inlineStr">
        <is>
          <t>10 年位階 94.0%（最高 20%），這一組歷史 6 段之後 6 個月的中位報酬</t>
        </is>
      </c>
      <c r="AM46" t="inlineStr">
        <is>
          <t>漲</t>
        </is>
      </c>
      <c r="AN46" s="8">
        <v>2</v>
      </c>
      <c r="AO46" s="8">
        <v>1</v>
      </c>
      <c r="AP46" s="8">
        <v>0</v>
      </c>
      <c r="AQ46" t="inlineStr">
        <is>
          <t>2／3 面同向</t>
        </is>
      </c>
      <c r="AR46" s="7">
        <v>39.27</v>
      </c>
      <c r="AS46" s="7">
        <v>32.58</v>
      </c>
      <c r="AT46" s="7">
        <v>28.16</v>
      </c>
      <c r="AU46" s="8">
        <v>3</v>
      </c>
      <c r="AV46" t="inlineStr">
        <is>
          <t>持平</t>
        </is>
      </c>
      <c r="AW46" s="7">
        <v>4.09</v>
      </c>
      <c r="AX46" t="inlineStr">
        <is>
          <t>校準後集成</t>
        </is>
      </c>
      <c r="AY46" s="7">
        <v>41.41</v>
      </c>
      <c r="AZ46" s="7">
        <v>32.58</v>
      </c>
      <c r="BA46" s="7">
        <v>26.01</v>
      </c>
      <c r="BB46" t="inlineStr">
        <is>
          <t>漲</t>
        </is>
      </c>
      <c r="BC46" s="7">
        <v>-14.74</v>
      </c>
      <c r="BD46" s="7">
        <v>27.05</v>
      </c>
      <c r="BE46" s="7">
        <v>2.02</v>
      </c>
      <c r="BF46" s="7">
        <v>12.98</v>
      </c>
      <c r="BG46" t="inlineStr">
        <is>
          <t>總經面 +4.39%（P漲 42%／P跌 26% → 漲）、產業鏈面 無訊號、歷史類比面 -1.00%（P漲 31%／P跌 35% → 持平）、位階面 +5.50%（P漲 44%／P跌 24% → 漲）；持平帶 ±8.26%（σ_h 19.21%×0.43），各面假設實際報酬是以預估值為中心、σ_h 為標準差的常態。投票 漲 2、持平 1，綜合判斷漲（2／3 面同向）；綜合機率 P漲 39%／P跌 28%（3 面平均）→ 持平。幅度推演：預測報酬 +4.09%（P漲 41%／P跌 26% → 漲），80% 結果區間 -14.74～+27.05%。</t>
        </is>
      </c>
      <c r="BH46" t="inlineStr">
        <is>
          <t>未到期</t>
        </is>
      </c>
    </row>
    <row r="47">
      <c r="A47" t="inlineStr">
        <is>
          <t>SC-2026-09-c_platinum-H6</t>
        </is>
      </c>
      <c r="B47" t="inlineStr">
        <is>
          <t>SC-2026-09</t>
        </is>
      </c>
      <c r="C47" t="inlineStr">
        <is>
          <t>2026-10-12</t>
        </is>
      </c>
      <c r="D47" t="inlineStr">
        <is>
          <t>2026-09</t>
        </is>
      </c>
      <c r="E47" t="inlineStr">
        <is>
          <t>2026-09</t>
        </is>
      </c>
      <c r="F47" s="8">
        <v>6</v>
      </c>
      <c r="G47" t="inlineStr">
        <is>
          <t>2027-04</t>
        </is>
      </c>
      <c r="H47" t="inlineStr">
        <is>
          <t>白金</t>
        </is>
      </c>
      <c r="I47" t="inlineStr">
        <is>
          <t>c_platinum</t>
        </is>
      </c>
      <c r="J47" s="7">
        <v>2.31</v>
      </c>
      <c r="K47" s="7">
        <v>17.59</v>
      </c>
      <c r="L47" s="8">
        <v>374</v>
      </c>
      <c r="M47" s="7">
        <v>7.56</v>
      </c>
      <c r="N47" s="7">
        <v>2.86</v>
      </c>
      <c r="O47" s="7">
        <v>39.47</v>
      </c>
      <c r="P47" s="7">
        <v>32.85</v>
      </c>
      <c r="Q47" s="7">
        <v>27.68</v>
      </c>
      <c r="R47" t="inlineStr">
        <is>
          <t>持平</t>
        </is>
      </c>
      <c r="S47" t="inlineStr">
        <is>
          <t>校準後：平常 +2.31% ＋ 模型超額 +0.55%</t>
        </is>
      </c>
      <c r="U47" t="inlineStr">
        <is>
          <t>無訊號</t>
        </is>
      </c>
      <c r="AA47" s="7">
        <v>-2.6</v>
      </c>
      <c r="AB47" s="7">
        <v>28.18</v>
      </c>
      <c r="AC47" s="7">
        <v>32.92</v>
      </c>
      <c r="AD47" s="7">
        <v>38.9</v>
      </c>
      <c r="AE47" t="inlineStr">
        <is>
          <t>持平</t>
        </is>
      </c>
      <c r="AF47" t="inlineStr">
        <is>
          <t>相似時點 11 段（24 個月）之後 6 個月的中位報酬</t>
        </is>
      </c>
      <c r="AG47" s="7">
        <v>5.4</v>
      </c>
      <c r="AH47" s="7">
        <v>45.11</v>
      </c>
      <c r="AI47" s="7">
        <v>31.83</v>
      </c>
      <c r="AJ47" s="7">
        <v>23.06</v>
      </c>
      <c r="AK47" t="inlineStr">
        <is>
          <t>漲</t>
        </is>
      </c>
      <c r="AL47" t="inlineStr">
        <is>
          <t>10 年位階 95.0%（最高 20%），這一組歷史 5 段之後 6 個月的中位報酬</t>
        </is>
      </c>
      <c r="AM47" t="inlineStr">
        <is>
          <t>持平</t>
        </is>
      </c>
      <c r="AN47" s="8">
        <v>1</v>
      </c>
      <c r="AO47" s="8">
        <v>2</v>
      </c>
      <c r="AP47" s="8">
        <v>0</v>
      </c>
      <c r="AQ47" t="inlineStr">
        <is>
          <t>2／3 面同向</t>
        </is>
      </c>
      <c r="AR47" s="7">
        <v>37.59</v>
      </c>
      <c r="AS47" s="7">
        <v>32.53</v>
      </c>
      <c r="AT47" s="7">
        <v>29.88</v>
      </c>
      <c r="AU47" s="8">
        <v>3</v>
      </c>
      <c r="AV47" t="inlineStr">
        <is>
          <t>持平</t>
        </is>
      </c>
      <c r="AW47" s="7">
        <v>2.46</v>
      </c>
      <c r="AX47" t="inlineStr">
        <is>
          <t>校準後集成</t>
        </is>
      </c>
      <c r="AY47" s="7">
        <v>38.59</v>
      </c>
      <c r="AZ47" s="7">
        <v>32.96</v>
      </c>
      <c r="BA47" s="7">
        <v>28.45</v>
      </c>
      <c r="BB47" t="inlineStr">
        <is>
          <t>持平</t>
        </is>
      </c>
      <c r="BC47" s="7">
        <v>-16.36</v>
      </c>
      <c r="BD47" s="7">
        <v>22.41</v>
      </c>
      <c r="BE47" s="7">
        <v>2.83</v>
      </c>
      <c r="BF47" s="7">
        <v>15.47</v>
      </c>
      <c r="BG47" t="inlineStr">
        <is>
          <t>總經面 +2.86%（P漲 39%／P跌 28% → 持平）、產業鏈面 無訊號、歷史類比面 -2.60%（P漲 28%／P跌 39% → 持平）、位階面 +5.40%（P漲 45%／P跌 23% → 漲）；持平帶 ±7.56%（σ_h 17.59%×0.43），各面假設實際報酬是以預估值為中心、σ_h 為標準差的常態。投票 漲 1、持平 2，綜合判斷持平（2／3 面同向）；綜合機率 P漲 38%／P跌 30%（3 面平均）→ 持平。幅度推演：預測報酬 +2.46%（P漲 39%／P跌 28% → 持平），80% 結果區間 -16.36～+22.41%。</t>
        </is>
      </c>
      <c r="BH47" t="inlineStr">
        <is>
          <t>未到期</t>
        </is>
      </c>
    </row>
    <row r="48">
      <c r="A48" t="inlineStr">
        <is>
          <t>SC-2026-09-c_copper-H6</t>
        </is>
      </c>
      <c r="B48" t="inlineStr">
        <is>
          <t>SC-2026-09</t>
        </is>
      </c>
      <c r="C48" t="inlineStr">
        <is>
          <t>2026-10-12</t>
        </is>
      </c>
      <c r="D48" t="inlineStr">
        <is>
          <t>2026-09</t>
        </is>
      </c>
      <c r="E48" t="inlineStr">
        <is>
          <t>2026-09</t>
        </is>
      </c>
      <c r="F48" s="8">
        <v>6</v>
      </c>
      <c r="G48" t="inlineStr">
        <is>
          <t>2027-04</t>
        </is>
      </c>
      <c r="H48" t="inlineStr">
        <is>
          <t>銅</t>
        </is>
      </c>
      <c r="I48" t="inlineStr">
        <is>
          <t>c_copper</t>
        </is>
      </c>
      <c r="J48" s="7">
        <v>2.48</v>
      </c>
      <c r="K48" s="7">
        <v>20.02</v>
      </c>
      <c r="L48" s="8">
        <v>374</v>
      </c>
      <c r="M48" s="7">
        <v>8.61</v>
      </c>
      <c r="N48" s="7">
        <v>2.83</v>
      </c>
      <c r="O48" s="7">
        <v>38.64</v>
      </c>
      <c r="P48" s="7">
        <v>32.97</v>
      </c>
      <c r="Q48" s="7">
        <v>28.39</v>
      </c>
      <c r="R48" t="inlineStr">
        <is>
          <t>持平</t>
        </is>
      </c>
      <c r="S48" t="inlineStr">
        <is>
          <t>校準後：平常 +2.48% ＋ 模型超額 +0.35%</t>
        </is>
      </c>
      <c r="U48" t="inlineStr">
        <is>
          <t>無訊號</t>
        </is>
      </c>
      <c r="AA48" s="7">
        <v>1.6</v>
      </c>
      <c r="AB48" s="7">
        <v>36.31</v>
      </c>
      <c r="AC48" s="7">
        <v>33.19</v>
      </c>
      <c r="AD48" s="7">
        <v>30.5</v>
      </c>
      <c r="AE48" t="inlineStr">
        <is>
          <t>持平</t>
        </is>
      </c>
      <c r="AF48" t="inlineStr">
        <is>
          <t>相似時點 11 段（24 個月）之後 6 個月的中位報酬</t>
        </is>
      </c>
      <c r="AG48" s="7">
        <v>3.5</v>
      </c>
      <c r="AH48" s="7">
        <v>39.93</v>
      </c>
      <c r="AI48" s="7">
        <v>32.81</v>
      </c>
      <c r="AJ48" s="7">
        <v>27.26</v>
      </c>
      <c r="AK48" t="inlineStr">
        <is>
          <t>持平</t>
        </is>
      </c>
      <c r="AL48" t="inlineStr">
        <is>
          <t>10 年位階 100.0%（最高 20%），這一組歷史 7 段之後 6 個月的中位報酬</t>
        </is>
      </c>
      <c r="AM48" t="inlineStr">
        <is>
          <t>持平</t>
        </is>
      </c>
      <c r="AN48" s="8">
        <v>0</v>
      </c>
      <c r="AO48" s="8">
        <v>3</v>
      </c>
      <c r="AP48" s="8">
        <v>0</v>
      </c>
      <c r="AQ48" t="inlineStr">
        <is>
          <t>3／3 面同向</t>
        </is>
      </c>
      <c r="AR48" s="7">
        <v>38.29</v>
      </c>
      <c r="AS48" s="7">
        <v>32.99</v>
      </c>
      <c r="AT48" s="7">
        <v>28.72</v>
      </c>
      <c r="AU48" s="8">
        <v>3</v>
      </c>
      <c r="AV48" t="inlineStr">
        <is>
          <t>持平</t>
        </is>
      </c>
      <c r="AW48" s="7">
        <v>2.77</v>
      </c>
      <c r="AX48" t="inlineStr">
        <is>
          <t>校準後集成</t>
        </is>
      </c>
      <c r="AY48" s="7">
        <v>38.53</v>
      </c>
      <c r="AZ48" s="7">
        <v>32.98</v>
      </c>
      <c r="BA48" s="7">
        <v>28.49</v>
      </c>
      <c r="BB48" t="inlineStr">
        <is>
          <t>持平</t>
        </is>
      </c>
      <c r="BC48" s="7">
        <v>-16.33</v>
      </c>
      <c r="BD48" s="7">
        <v>26.68</v>
      </c>
      <c r="BE48" s="7">
        <v>-1.22</v>
      </c>
      <c r="BF48" s="7">
        <v>12.22</v>
      </c>
      <c r="BG48" t="inlineStr">
        <is>
          <t>總經面 +2.83%（P漲 39%／P跌 28% → 持平）、產業鏈面 無訊號、歷史類比面 +1.60%（P漲 36%／P跌 30% → 持平）、位階面 +3.50%（P漲 40%／P跌 27% → 持平）；持平帶 ±8.61%（σ_h 20.02%×0.43），各面假設實際報酬是以預估值為中心、σ_h 為標準差的常態。投票 持平 3，綜合判斷持平（3／3 面同向）；綜合機率 P漲 38%／P跌 29%（3 面平均）→ 持平。幅度推演：預測報酬 +2.77%（P漲 39%／P跌 28% → 持平），80% 結果區間 -16.33～+26.68%。</t>
        </is>
      </c>
      <c r="BH48" t="inlineStr">
        <is>
          <t>未到期</t>
        </is>
      </c>
    </row>
    <row r="49">
      <c r="A49" t="inlineStr">
        <is>
          <t>SC-2026-09-c_alu-H6</t>
        </is>
      </c>
      <c r="B49" t="inlineStr">
        <is>
          <t>SC-2026-09</t>
        </is>
      </c>
      <c r="C49" t="inlineStr">
        <is>
          <t>2026-10-12</t>
        </is>
      </c>
      <c r="D49" t="inlineStr">
        <is>
          <t>2026-09</t>
        </is>
      </c>
      <c r="E49" t="inlineStr">
        <is>
          <t>2026-09</t>
        </is>
      </c>
      <c r="F49" s="8">
        <v>6</v>
      </c>
      <c r="G49" t="inlineStr">
        <is>
          <t>2027-04</t>
        </is>
      </c>
      <c r="H49" t="inlineStr">
        <is>
          <t>鋁</t>
        </is>
      </c>
      <c r="I49" t="inlineStr">
        <is>
          <t>c_alu</t>
        </is>
      </c>
      <c r="J49" s="7">
        <v>0.99</v>
      </c>
      <c r="K49" s="7">
        <v>15.1</v>
      </c>
      <c r="L49" s="8">
        <v>374</v>
      </c>
      <c r="M49" s="7">
        <v>6.49</v>
      </c>
      <c r="N49" s="7">
        <v>2.05</v>
      </c>
      <c r="O49" s="7">
        <v>38.44</v>
      </c>
      <c r="P49" s="7">
        <v>32.98</v>
      </c>
      <c r="Q49" s="7">
        <v>28.58</v>
      </c>
      <c r="R49" t="inlineStr">
        <is>
          <t>持平</t>
        </is>
      </c>
      <c r="S49" t="inlineStr">
        <is>
          <t>校準後：平常 +0.99% ＋ 模型超額 +1.06%</t>
        </is>
      </c>
      <c r="U49" t="inlineStr">
        <is>
          <t>無訊號</t>
        </is>
      </c>
      <c r="AA49" s="7">
        <v>7.36</v>
      </c>
      <c r="AB49" s="7">
        <v>52.3</v>
      </c>
      <c r="AC49" s="7">
        <v>29.75</v>
      </c>
      <c r="AD49" s="7">
        <v>17.95</v>
      </c>
      <c r="AE49" t="inlineStr">
        <is>
          <t>漲</t>
        </is>
      </c>
      <c r="AF49" t="inlineStr">
        <is>
          <t>沒有確切標的資料：平常 +0.99% ＋ 相似時點中位超額 +6.37%</t>
        </is>
      </c>
      <c r="AK49" t="inlineStr">
        <is>
          <t>無訊號</t>
        </is>
      </c>
      <c r="AL49" t="inlineStr">
        <is>
          <t>沒有位階資料</t>
        </is>
      </c>
      <c r="AM49" t="inlineStr">
        <is>
          <t>持平</t>
        </is>
      </c>
      <c r="AN49" s="8">
        <v>1</v>
      </c>
      <c r="AO49" s="8">
        <v>1</v>
      </c>
      <c r="AP49" s="8">
        <v>0</v>
      </c>
      <c r="AQ49" t="inlineStr">
        <is>
          <t>平手（漲 1、持平 1）</t>
        </is>
      </c>
      <c r="AR49" s="7">
        <v>45.37</v>
      </c>
      <c r="AS49" s="7">
        <v>31.36</v>
      </c>
      <c r="AT49" s="7">
        <v>23.27</v>
      </c>
      <c r="AU49" s="8">
        <v>2</v>
      </c>
      <c r="AV49" t="inlineStr">
        <is>
          <t>漲</t>
        </is>
      </c>
      <c r="AW49" s="7">
        <v>2.82</v>
      </c>
      <c r="AX49" t="inlineStr">
        <is>
          <t>校準後集成</t>
        </is>
      </c>
      <c r="AY49" s="7">
        <v>40.4</v>
      </c>
      <c r="AZ49" s="7">
        <v>32.72</v>
      </c>
      <c r="BA49" s="7">
        <v>26.88</v>
      </c>
      <c r="BB49" t="inlineStr">
        <is>
          <t>漲</t>
        </is>
      </c>
      <c r="BC49" s="7">
        <v>-12.35</v>
      </c>
      <c r="BD49" s="7">
        <v>20.53</v>
      </c>
      <c r="BE49" s="7">
        <v>4.73</v>
      </c>
      <c r="BF49" s="7">
        <v>15.85</v>
      </c>
      <c r="BG49" t="inlineStr">
        <is>
          <t>總經面 +2.05%（P漲 38%／P跌 29% → 持平）、產業鏈面 無訊號、歷史類比面 +7.36%（P漲 52%／P跌 18% → 漲）、位階面 無訊號；持平帶 ±6.49%（σ_h 15.10%×0.43），各面假設實際報酬是以預估值為中心、σ_h 為標準差的常態。投票 漲 1、持平 1 平手，綜合記為持平；綜合機率 P漲 45%／P跌 23%（2 面平均）→ 漲。幅度推演：預測報酬 +2.82%（P漲 40%／P跌 27% → 漲），80% 結果區間 -12.35～+20.53%。</t>
        </is>
      </c>
      <c r="BH49" t="inlineStr">
        <is>
          <t>未到期</t>
        </is>
      </c>
    </row>
    <row r="50">
      <c r="A50" t="inlineStr">
        <is>
          <t>SC-2026-09-c_brent-H6</t>
        </is>
      </c>
      <c r="B50" t="inlineStr">
        <is>
          <t>SC-2026-09</t>
        </is>
      </c>
      <c r="C50" t="inlineStr">
        <is>
          <t>2026-10-12</t>
        </is>
      </c>
      <c r="D50" t="inlineStr">
        <is>
          <t>2026-09</t>
        </is>
      </c>
      <c r="E50" t="inlineStr">
        <is>
          <t>2026-09</t>
        </is>
      </c>
      <c r="F50" s="8">
        <v>6</v>
      </c>
      <c r="G50" t="inlineStr">
        <is>
          <t>2027-04</t>
        </is>
      </c>
      <c r="H50" t="inlineStr">
        <is>
          <t>布蘭特原油</t>
        </is>
      </c>
      <c r="I50" t="inlineStr">
        <is>
          <t>c_brent</t>
        </is>
      </c>
      <c r="J50" s="7">
        <v>2.8</v>
      </c>
      <c r="K50" s="7">
        <v>26.15</v>
      </c>
      <c r="L50" s="8">
        <v>374</v>
      </c>
      <c r="M50" s="7">
        <v>11.24</v>
      </c>
      <c r="N50" s="7">
        <v>4.49</v>
      </c>
      <c r="O50" s="7">
        <v>39.82</v>
      </c>
      <c r="P50" s="7">
        <v>32.81</v>
      </c>
      <c r="Q50" s="7">
        <v>27.37</v>
      </c>
      <c r="R50" t="inlineStr">
        <is>
          <t>持平</t>
        </is>
      </c>
      <c r="S50" t="inlineStr">
        <is>
          <t>校準後：平常 +2.80% ＋ 模型超額 +1.69%</t>
        </is>
      </c>
      <c r="U50" t="inlineStr">
        <is>
          <t>無訊號</t>
        </is>
      </c>
      <c r="AA50" s="7">
        <v>1.36</v>
      </c>
      <c r="AB50" s="7">
        <v>35.28</v>
      </c>
      <c r="AC50" s="7">
        <v>33.22</v>
      </c>
      <c r="AD50" s="7">
        <v>31.5</v>
      </c>
      <c r="AE50" t="inlineStr">
        <is>
          <t>持平</t>
        </is>
      </c>
      <c r="AF50" t="inlineStr">
        <is>
          <t>沒有確切標的資料：平常 +2.80% ＋ 相似時點中位超額 -1.44%</t>
        </is>
      </c>
      <c r="AK50" t="inlineStr">
        <is>
          <t>無訊號</t>
        </is>
      </c>
      <c r="AL50" t="inlineStr">
        <is>
          <t>沒有位階資料</t>
        </is>
      </c>
      <c r="AM50" t="inlineStr">
        <is>
          <t>持平</t>
        </is>
      </c>
      <c r="AN50" s="8">
        <v>0</v>
      </c>
      <c r="AO50" s="8">
        <v>2</v>
      </c>
      <c r="AP50" s="8">
        <v>0</v>
      </c>
      <c r="AQ50" t="inlineStr">
        <is>
          <t>2／2 面同向</t>
        </is>
      </c>
      <c r="AR50" s="7">
        <v>37.55</v>
      </c>
      <c r="AS50" s="7">
        <v>33.02</v>
      </c>
      <c r="AT50" s="7">
        <v>29.44</v>
      </c>
      <c r="AU50" s="8">
        <v>2</v>
      </c>
      <c r="AV50" t="inlineStr">
        <is>
          <t>持平</t>
        </is>
      </c>
      <c r="AW50" s="7">
        <v>4.46</v>
      </c>
      <c r="AX50" t="inlineStr">
        <is>
          <t>校準後集成</t>
        </is>
      </c>
      <c r="AY50" s="7">
        <v>39.77</v>
      </c>
      <c r="AZ50" s="7">
        <v>32.82</v>
      </c>
      <c r="BA50" s="7">
        <v>27.41</v>
      </c>
      <c r="BB50" t="inlineStr">
        <is>
          <t>持平</t>
        </is>
      </c>
      <c r="BC50" s="7">
        <v>-23.05</v>
      </c>
      <c r="BD50" s="7">
        <v>33.34</v>
      </c>
      <c r="BE50" s="7">
        <v>8.51</v>
      </c>
      <c r="BF50" s="7">
        <v>29.38</v>
      </c>
      <c r="BG50" t="inlineStr">
        <is>
          <t>總經面 +4.49%（P漲 40%／P跌 27% → 持平）、產業鏈面 無訊號、歷史類比面 +1.36%（P漲 35%／P跌 32% → 持平）、位階面 無訊號；持平帶 ±11.24%（σ_h 26.15%×0.43），各面假設實際報酬是以預估值為中心、σ_h 為標準差的常態。投票 持平 2，綜合判斷持平（2／2 面同向）；綜合機率 P漲 38%／P跌 29%（2 面平均）→ 持平。幅度推演：預測報酬 +4.46%（P漲 40%／P跌 27% → 持平），80% 結果區間 -23.05～+33.34%。</t>
        </is>
      </c>
      <c r="BH50" t="inlineStr">
        <is>
          <t>未到期</t>
        </is>
      </c>
    </row>
    <row r="51">
      <c r="A51" t="inlineStr">
        <is>
          <t>SC-2026-09-c_wti-H6</t>
        </is>
      </c>
      <c r="B51" t="inlineStr">
        <is>
          <t>SC-2026-09</t>
        </is>
      </c>
      <c r="C51" t="inlineStr">
        <is>
          <t>2026-10-12</t>
        </is>
      </c>
      <c r="D51" t="inlineStr">
        <is>
          <t>2026-09</t>
        </is>
      </c>
      <c r="E51" t="inlineStr">
        <is>
          <t>2026-09</t>
        </is>
      </c>
      <c r="F51" s="8">
        <v>6</v>
      </c>
      <c r="G51" t="inlineStr">
        <is>
          <t>2027-04</t>
        </is>
      </c>
      <c r="H51" t="inlineStr">
        <is>
          <t>WTI 原油</t>
        </is>
      </c>
      <c r="I51" t="inlineStr">
        <is>
          <t>c_wti</t>
        </is>
      </c>
      <c r="J51" s="7">
        <v>2.51</v>
      </c>
      <c r="K51" s="7">
        <v>26.29</v>
      </c>
      <c r="L51" s="8">
        <v>374</v>
      </c>
      <c r="M51" s="7">
        <v>11.3</v>
      </c>
      <c r="N51" s="7">
        <v>4.11</v>
      </c>
      <c r="O51" s="7">
        <v>39.22</v>
      </c>
      <c r="P51" s="7">
        <v>32.89</v>
      </c>
      <c r="Q51" s="7">
        <v>27.89</v>
      </c>
      <c r="R51" t="inlineStr">
        <is>
          <t>持平</t>
        </is>
      </c>
      <c r="S51" t="inlineStr">
        <is>
          <t>校準後：平常 +2.51% ＋ 模型超額 +1.60%</t>
        </is>
      </c>
      <c r="U51" t="inlineStr">
        <is>
          <t>無訊號</t>
        </is>
      </c>
      <c r="AA51" s="7">
        <v>7.0</v>
      </c>
      <c r="AB51" s="7">
        <v>43.5</v>
      </c>
      <c r="AC51" s="7">
        <v>32.18</v>
      </c>
      <c r="AD51" s="7">
        <v>24.32</v>
      </c>
      <c r="AE51" t="inlineStr">
        <is>
          <t>漲</t>
        </is>
      </c>
      <c r="AF51" t="inlineStr">
        <is>
          <t>相似時點 11 段（24 個月）之後 6 個月的中位報酬</t>
        </is>
      </c>
      <c r="AG51" s="7">
        <v>2.8</v>
      </c>
      <c r="AH51" s="7">
        <v>37.32</v>
      </c>
      <c r="AI51" s="7">
        <v>33.09</v>
      </c>
      <c r="AJ51" s="7">
        <v>29.59</v>
      </c>
      <c r="AK51" t="inlineStr">
        <is>
          <t>持平</t>
        </is>
      </c>
      <c r="AL51" t="inlineStr">
        <is>
          <t>10 年位階 94.0%（最高 20%），這一組歷史 7 段之後 6 個月的中位報酬</t>
        </is>
      </c>
      <c r="AM51" t="inlineStr">
        <is>
          <t>持平</t>
        </is>
      </c>
      <c r="AN51" s="8">
        <v>1</v>
      </c>
      <c r="AO51" s="8">
        <v>2</v>
      </c>
      <c r="AP51" s="8">
        <v>0</v>
      </c>
      <c r="AQ51" t="inlineStr">
        <is>
          <t>2／3 面同向</t>
        </is>
      </c>
      <c r="AR51" s="7">
        <v>40.01</v>
      </c>
      <c r="AS51" s="7">
        <v>32.72</v>
      </c>
      <c r="AT51" s="7">
        <v>27.27</v>
      </c>
      <c r="AU51" s="8">
        <v>3</v>
      </c>
      <c r="AV51" t="inlineStr">
        <is>
          <t>漲</t>
        </is>
      </c>
      <c r="AW51" s="7">
        <v>4.34</v>
      </c>
      <c r="AX51" t="inlineStr">
        <is>
          <t>校準後集成</t>
        </is>
      </c>
      <c r="AY51" s="7">
        <v>39.56</v>
      </c>
      <c r="AZ51" s="7">
        <v>32.84</v>
      </c>
      <c r="BA51" s="7">
        <v>27.6</v>
      </c>
      <c r="BB51" t="inlineStr">
        <is>
          <t>持平</t>
        </is>
      </c>
      <c r="BC51" s="7">
        <v>-23.49</v>
      </c>
      <c r="BD51" s="7">
        <v>33.04</v>
      </c>
      <c r="BE51" s="7">
        <v>7.46</v>
      </c>
      <c r="BF51" s="7">
        <v>29.77</v>
      </c>
      <c r="BG51" t="inlineStr">
        <is>
          <t>總經面 +4.11%（P漲 39%／P跌 28% → 持平）、產業鏈面 無訊號、歷史類比面 +7.00%（P漲 44%／P跌 24% → 漲）、位階面 +2.80%（P漲 37%／P跌 30% → 持平）；持平帶 ±11.30%（σ_h 26.29%×0.43），各面假設實際報酬是以預估值為中心、σ_h 為標準差的常態。投票 漲 1、持平 2，綜合判斷持平（2／3 面同向）；綜合機率 P漲 40%／P跌 27%（3 面平均）→ 漲。幅度推演：預測報酬 +4.34%（P漲 40%／P跌 28% → 持平），80% 結果區間 -23.49～+33.04%。</t>
        </is>
      </c>
      <c r="BH51" t="inlineStr">
        <is>
          <t>未到期</t>
        </is>
      </c>
    </row>
    <row r="52">
      <c r="A52" t="inlineStr">
        <is>
          <t>SC-2026-09-c_natgas-H6</t>
        </is>
      </c>
      <c r="B52" t="inlineStr">
        <is>
          <t>SC-2026-09</t>
        </is>
      </c>
      <c r="C52" t="inlineStr">
        <is>
          <t>2026-10-12</t>
        </is>
      </c>
      <c r="D52" t="inlineStr">
        <is>
          <t>2026-09</t>
        </is>
      </c>
      <c r="E52" t="inlineStr">
        <is>
          <t>2026-09</t>
        </is>
      </c>
      <c r="F52" s="8">
        <v>6</v>
      </c>
      <c r="G52" t="inlineStr">
        <is>
          <t>2027-04</t>
        </is>
      </c>
      <c r="H52" t="inlineStr">
        <is>
          <t>美國天然氣</t>
        </is>
      </c>
      <c r="I52" t="inlineStr">
        <is>
          <t>c_natgas</t>
        </is>
      </c>
      <c r="J52" s="7">
        <v>0.99</v>
      </c>
      <c r="K52" s="7">
        <v>36.91</v>
      </c>
      <c r="L52" s="8">
        <v>374</v>
      </c>
      <c r="M52" s="7">
        <v>15.87</v>
      </c>
      <c r="N52" s="7">
        <v>2.58</v>
      </c>
      <c r="O52" s="7">
        <v>35.94</v>
      </c>
      <c r="P52" s="7">
        <v>33.2</v>
      </c>
      <c r="Q52" s="7">
        <v>30.86</v>
      </c>
      <c r="R52" t="inlineStr">
        <is>
          <t>持平</t>
        </is>
      </c>
      <c r="S52" t="inlineStr">
        <is>
          <t>校準後：平常 +0.99% ＋ 模型超額 +1.59%</t>
        </is>
      </c>
      <c r="U52" t="inlineStr">
        <is>
          <t>無訊號</t>
        </is>
      </c>
      <c r="AA52" s="7">
        <v>5.9</v>
      </c>
      <c r="AB52" s="7">
        <v>39.35</v>
      </c>
      <c r="AC52" s="7">
        <v>32.88</v>
      </c>
      <c r="AD52" s="7">
        <v>27.77</v>
      </c>
      <c r="AE52" t="inlineStr">
        <is>
          <t>持平</t>
        </is>
      </c>
      <c r="AF52" t="inlineStr">
        <is>
          <t>相似時點 11 段（24 個月）之後 6 個月的中位報酬</t>
        </is>
      </c>
      <c r="AG52" s="7">
        <v>-13.0</v>
      </c>
      <c r="AH52" s="7">
        <v>21.71</v>
      </c>
      <c r="AI52" s="7">
        <v>31.39</v>
      </c>
      <c r="AJ52" s="7">
        <v>46.9</v>
      </c>
      <c r="AK52" t="inlineStr">
        <is>
          <t>跌</t>
        </is>
      </c>
      <c r="AL52" t="inlineStr">
        <is>
          <t>10 年位階 55.0%（40～60%），這一組歷史 12 段之後 6 個月的中位報酬</t>
        </is>
      </c>
      <c r="AM52" t="inlineStr">
        <is>
          <t>持平</t>
        </is>
      </c>
      <c r="AN52" s="8">
        <v>0</v>
      </c>
      <c r="AO52" s="8">
        <v>2</v>
      </c>
      <c r="AP52" s="8">
        <v>1</v>
      </c>
      <c r="AQ52" t="inlineStr">
        <is>
          <t>2／3 面同向</t>
        </is>
      </c>
      <c r="AR52" s="7">
        <v>32.33</v>
      </c>
      <c r="AS52" s="7">
        <v>32.49</v>
      </c>
      <c r="AT52" s="7">
        <v>35.18</v>
      </c>
      <c r="AU52" s="8">
        <v>3</v>
      </c>
      <c r="AV52" t="inlineStr">
        <is>
          <t>持平</t>
        </is>
      </c>
      <c r="AW52" s="7">
        <v>3.07</v>
      </c>
      <c r="AX52" t="inlineStr">
        <is>
          <t>校準後集成</t>
        </is>
      </c>
      <c r="AY52" s="7">
        <v>36.44</v>
      </c>
      <c r="AZ52" s="7">
        <v>33.17</v>
      </c>
      <c r="BA52" s="7">
        <v>30.39</v>
      </c>
      <c r="BB52" t="inlineStr">
        <is>
          <t>持平</t>
        </is>
      </c>
      <c r="BC52" s="7">
        <v>-41.39</v>
      </c>
      <c r="BD52" s="7">
        <v>47.65</v>
      </c>
      <c r="BE52" s="7">
        <v>4.95</v>
      </c>
      <c r="BF52" s="7">
        <v>28.45</v>
      </c>
      <c r="BG52" t="inlineStr">
        <is>
          <t>總經面 +2.58%（P漲 36%／P跌 31% → 持平）、產業鏈面 無訊號、歷史類比面 +5.90%（P漲 39%／P跌 28% → 持平）、位階面 -13.00%（P漲 22%／P跌 47% → 跌）；持平帶 ±15.87%（σ_h 36.91%×0.43），各面假設實際報酬是以預估值為中心、σ_h 為標準差的常態。投票 持平 2、跌 1，綜合判斷持平（2／3 面同向）；綜合機率 P漲 32%／P跌 35%（3 面平均）→ 持平。幅度推演：預測報酬 +3.07%（P漲 36%／P跌 30% → 持平），80% 結果區間 -41.39～+47.65%。</t>
        </is>
      </c>
      <c r="BH52" t="inlineStr">
        <is>
          <t>未到期</t>
        </is>
      </c>
    </row>
    <row r="53">
      <c r="A53" t="inlineStr">
        <is>
          <t>SC-2026-09-c_maize-H6</t>
        </is>
      </c>
      <c r="B53" t="inlineStr">
        <is>
          <t>SC-2026-09</t>
        </is>
      </c>
      <c r="C53" t="inlineStr">
        <is>
          <t>2026-10-12</t>
        </is>
      </c>
      <c r="D53" t="inlineStr">
        <is>
          <t>2026-09</t>
        </is>
      </c>
      <c r="E53" t="inlineStr">
        <is>
          <t>2026-09</t>
        </is>
      </c>
      <c r="F53" s="8">
        <v>6</v>
      </c>
      <c r="G53" t="inlineStr">
        <is>
          <t>2027-04</t>
        </is>
      </c>
      <c r="H53" t="inlineStr">
        <is>
          <t>玉米</t>
        </is>
      </c>
      <c r="I53" t="inlineStr">
        <is>
          <t>c_maize</t>
        </is>
      </c>
      <c r="J53" s="7">
        <v>1.03</v>
      </c>
      <c r="K53" s="7">
        <v>18.54</v>
      </c>
      <c r="L53" s="8">
        <v>374</v>
      </c>
      <c r="M53" s="7">
        <v>7.97</v>
      </c>
      <c r="N53" s="7">
        <v>1.01</v>
      </c>
      <c r="O53" s="7">
        <v>35.37</v>
      </c>
      <c r="P53" s="7">
        <v>33.22</v>
      </c>
      <c r="Q53" s="7">
        <v>31.41</v>
      </c>
      <c r="R53" t="inlineStr">
        <is>
          <t>持平</t>
        </is>
      </c>
      <c r="S53" t="inlineStr">
        <is>
          <t>校準後：平常 +1.03% ＋ 模型超額 -0.02%</t>
        </is>
      </c>
      <c r="U53" t="inlineStr">
        <is>
          <t>無訊號</t>
        </is>
      </c>
      <c r="AA53" s="7">
        <v>-3.53</v>
      </c>
      <c r="AB53" s="7">
        <v>26.75</v>
      </c>
      <c r="AC53" s="7">
        <v>32.71</v>
      </c>
      <c r="AD53" s="7">
        <v>40.54</v>
      </c>
      <c r="AE53" t="inlineStr">
        <is>
          <t>跌</t>
        </is>
      </c>
      <c r="AF53" t="inlineStr">
        <is>
          <t>沒有確切標的資料：平常 +1.03% ＋ 相似時點中位超額 -4.56%</t>
        </is>
      </c>
      <c r="AK53" t="inlineStr">
        <is>
          <t>無訊號</t>
        </is>
      </c>
      <c r="AL53" t="inlineStr">
        <is>
          <t>沒有位階資料</t>
        </is>
      </c>
      <c r="AM53" t="inlineStr">
        <is>
          <t>持平</t>
        </is>
      </c>
      <c r="AN53" s="8">
        <v>0</v>
      </c>
      <c r="AO53" s="8">
        <v>1</v>
      </c>
      <c r="AP53" s="8">
        <v>1</v>
      </c>
      <c r="AQ53" t="inlineStr">
        <is>
          <t>平手（持平 1、跌 1）</t>
        </is>
      </c>
      <c r="AR53" s="7">
        <v>31.06</v>
      </c>
      <c r="AS53" s="7">
        <v>32.97</v>
      </c>
      <c r="AT53" s="7">
        <v>35.98</v>
      </c>
      <c r="AU53" s="8">
        <v>2</v>
      </c>
      <c r="AV53" t="inlineStr">
        <is>
          <t>持平</t>
        </is>
      </c>
      <c r="AW53" s="7">
        <v>0.52</v>
      </c>
      <c r="AX53" t="inlineStr">
        <is>
          <t>校準後集成</t>
        </is>
      </c>
      <c r="AY53" s="7">
        <v>34.39</v>
      </c>
      <c r="AZ53" s="7">
        <v>33.26</v>
      </c>
      <c r="BA53" s="7">
        <v>32.35</v>
      </c>
      <c r="BB53" t="inlineStr">
        <is>
          <t>持平</t>
        </is>
      </c>
      <c r="BC53" s="7">
        <v>-18.97</v>
      </c>
      <c r="BD53" s="7">
        <v>25.07</v>
      </c>
      <c r="BE53" s="7">
        <v>-5.24</v>
      </c>
      <c r="BF53" s="7">
        <v>7.97</v>
      </c>
      <c r="BG53" t="inlineStr">
        <is>
          <t>總經面 +1.01%（P漲 35%／P跌 31% → 持平）、產業鏈面 無訊號、歷史類比面 -3.53%（P漲 27%／P跌 41% → 跌）、位階面 無訊號；持平帶 ±7.97%（σ_h 18.54%×0.43），各面假設實際報酬是以預估值為中心、σ_h 為標準差的常態。投票 持平 1、跌 1 平手，綜合記為持平；綜合機率 P漲 31%／P跌 36%（2 面平均）→ 持平。幅度推演：預測報酬 +0.52%（P漲 34%／P跌 32% → 持平），80% 結果區間 -18.97～+25.07%。</t>
        </is>
      </c>
      <c r="BH53" t="inlineStr">
        <is>
          <t>未到期</t>
        </is>
      </c>
    </row>
    <row r="54">
      <c r="A54" t="inlineStr">
        <is>
          <t>SC-2026-09-c_soy-H6</t>
        </is>
      </c>
      <c r="B54" t="inlineStr">
        <is>
          <t>SC-2026-09</t>
        </is>
      </c>
      <c r="C54" t="inlineStr">
        <is>
          <t>2026-10-12</t>
        </is>
      </c>
      <c r="D54" t="inlineStr">
        <is>
          <t>2026-09</t>
        </is>
      </c>
      <c r="E54" t="inlineStr">
        <is>
          <t>2026-09</t>
        </is>
      </c>
      <c r="F54" s="8">
        <v>6</v>
      </c>
      <c r="G54" t="inlineStr">
        <is>
          <t>2027-04</t>
        </is>
      </c>
      <c r="H54" t="inlineStr">
        <is>
          <t>大豆</t>
        </is>
      </c>
      <c r="I54" t="inlineStr">
        <is>
          <t>c_soy</t>
        </is>
      </c>
      <c r="J54" s="7">
        <v>1.05</v>
      </c>
      <c r="K54" s="7">
        <v>15.17</v>
      </c>
      <c r="L54" s="8">
        <v>374</v>
      </c>
      <c r="M54" s="7">
        <v>6.52</v>
      </c>
      <c r="N54" s="7">
        <v>0.56</v>
      </c>
      <c r="O54" s="7">
        <v>34.72</v>
      </c>
      <c r="P54" s="7">
        <v>33.24</v>
      </c>
      <c r="Q54" s="7">
        <v>32.04</v>
      </c>
      <c r="R54" t="inlineStr">
        <is>
          <t>持平</t>
        </is>
      </c>
      <c r="S54" t="inlineStr">
        <is>
          <t>校準後：平常 +1.05% ＋ 模型超額 -0.49%</t>
        </is>
      </c>
      <c r="U54" t="inlineStr">
        <is>
          <t>無訊號</t>
        </is>
      </c>
      <c r="AA54" s="7">
        <v>-0.08</v>
      </c>
      <c r="AB54" s="7">
        <v>33.18</v>
      </c>
      <c r="AC54" s="7">
        <v>33.26</v>
      </c>
      <c r="AD54" s="7">
        <v>33.56</v>
      </c>
      <c r="AE54" t="inlineStr">
        <is>
          <t>持平</t>
        </is>
      </c>
      <c r="AF54" t="inlineStr">
        <is>
          <t>沒有確切標的資料：平常 +1.05% ＋ 相似時點中位超額 -1.13%</t>
        </is>
      </c>
      <c r="AK54" t="inlineStr">
        <is>
          <t>無訊號</t>
        </is>
      </c>
      <c r="AL54" t="inlineStr">
        <is>
          <t>沒有位階資料</t>
        </is>
      </c>
      <c r="AM54" t="inlineStr">
        <is>
          <t>持平</t>
        </is>
      </c>
      <c r="AN54" s="8">
        <v>0</v>
      </c>
      <c r="AO54" s="8">
        <v>2</v>
      </c>
      <c r="AP54" s="8">
        <v>0</v>
      </c>
      <c r="AQ54" t="inlineStr">
        <is>
          <t>2／2 面同向</t>
        </is>
      </c>
      <c r="AR54" s="7">
        <v>33.95</v>
      </c>
      <c r="AS54" s="7">
        <v>33.25</v>
      </c>
      <c r="AT54" s="7">
        <v>32.8</v>
      </c>
      <c r="AU54" s="8">
        <v>2</v>
      </c>
      <c r="AV54" t="inlineStr">
        <is>
          <t>持平</t>
        </is>
      </c>
      <c r="AW54" s="7">
        <v>0.4</v>
      </c>
      <c r="AX54" t="inlineStr">
        <is>
          <t>校準後集成</t>
        </is>
      </c>
      <c r="AY54" s="7">
        <v>34.33</v>
      </c>
      <c r="AZ54" s="7">
        <v>33.26</v>
      </c>
      <c r="BA54" s="7">
        <v>32.41</v>
      </c>
      <c r="BB54" t="inlineStr">
        <is>
          <t>持平</t>
        </is>
      </c>
      <c r="BC54" s="7">
        <v>-15.59</v>
      </c>
      <c r="BD54" s="7">
        <v>20.42</v>
      </c>
      <c r="BE54" s="7">
        <v>-9.42</v>
      </c>
      <c r="BF54" s="7">
        <v>3.41</v>
      </c>
      <c r="BG54" t="inlineStr">
        <is>
          <t>總經面 +0.56%（P漲 35%／P跌 32% → 持平）、產業鏈面 無訊號、歷史類比面 -0.08%（P漲 33%／P跌 34% → 持平）、位階面 無訊號；持平帶 ±6.52%（σ_h 15.17%×0.43），各面假設實際報酬是以預估值為中心、σ_h 為標準差的常態。投票 持平 2，綜合判斷持平（2／2 面同向）；綜合機率 P漲 34%／P跌 33%（2 面平均）→ 持平。幅度推演：預測報酬 +0.40%（P漲 34%／P跌 32% → 持平），80% 結果區間 -15.59～+20.42%。</t>
        </is>
      </c>
      <c r="BH54" t="inlineStr">
        <is>
          <t>未到期</t>
        </is>
      </c>
    </row>
    <row r="55">
      <c r="A55" t="inlineStr">
        <is>
          <t>SC-2026-09-c_wheat-H6</t>
        </is>
      </c>
      <c r="B55" t="inlineStr">
        <is>
          <t>SC-2026-09</t>
        </is>
      </c>
      <c r="C55" t="inlineStr">
        <is>
          <t>2026-10-12</t>
        </is>
      </c>
      <c r="D55" t="inlineStr">
        <is>
          <t>2026-09</t>
        </is>
      </c>
      <c r="E55" t="inlineStr">
        <is>
          <t>2026-09</t>
        </is>
      </c>
      <c r="F55" s="8">
        <v>6</v>
      </c>
      <c r="G55" t="inlineStr">
        <is>
          <t>2027-04</t>
        </is>
      </c>
      <c r="H55" t="inlineStr">
        <is>
          <t>小麥</t>
        </is>
      </c>
      <c r="I55" t="inlineStr">
        <is>
          <t>c_wheat</t>
        </is>
      </c>
      <c r="J55" s="7">
        <v>1.04</v>
      </c>
      <c r="K55" s="7">
        <v>17.92</v>
      </c>
      <c r="L55" s="8">
        <v>374</v>
      </c>
      <c r="M55" s="7">
        <v>7.71</v>
      </c>
      <c r="N55" s="7">
        <v>0.83</v>
      </c>
      <c r="O55" s="7">
        <v>35.05</v>
      </c>
      <c r="P55" s="7">
        <v>33.27</v>
      </c>
      <c r="Q55" s="7">
        <v>31.68</v>
      </c>
      <c r="R55" t="inlineStr">
        <is>
          <t>持平</t>
        </is>
      </c>
      <c r="S55" t="inlineStr">
        <is>
          <t>校準後：平常 +1.04% ＋ 模型超額 -0.21%</t>
        </is>
      </c>
      <c r="U55" t="inlineStr">
        <is>
          <t>無訊號</t>
        </is>
      </c>
      <c r="AA55" s="7">
        <v>0.96</v>
      </c>
      <c r="AB55" s="7">
        <v>35.32</v>
      </c>
      <c r="AC55" s="7">
        <v>33.25</v>
      </c>
      <c r="AD55" s="7">
        <v>31.43</v>
      </c>
      <c r="AE55" t="inlineStr">
        <is>
          <t>持平</t>
        </is>
      </c>
      <c r="AF55" t="inlineStr">
        <is>
          <t>沒有確切標的資料：平常 +1.04% ＋ 相似時點中位超額 -0.08%</t>
        </is>
      </c>
      <c r="AK55" t="inlineStr">
        <is>
          <t>無訊號</t>
        </is>
      </c>
      <c r="AL55" t="inlineStr">
        <is>
          <t>沒有位階資料</t>
        </is>
      </c>
      <c r="AM55" t="inlineStr">
        <is>
          <t>持平</t>
        </is>
      </c>
      <c r="AN55" s="8">
        <v>0</v>
      </c>
      <c r="AO55" s="8">
        <v>2</v>
      </c>
      <c r="AP55" s="8">
        <v>0</v>
      </c>
      <c r="AQ55" t="inlineStr">
        <is>
          <t>2／2 面同向</t>
        </is>
      </c>
      <c r="AR55" s="7">
        <v>35.19</v>
      </c>
      <c r="AS55" s="7">
        <v>33.26</v>
      </c>
      <c r="AT55" s="7">
        <v>31.55</v>
      </c>
      <c r="AU55" s="8">
        <v>2</v>
      </c>
      <c r="AV55" t="inlineStr">
        <is>
          <t>持平</t>
        </is>
      </c>
      <c r="AW55" s="7">
        <v>0.81</v>
      </c>
      <c r="AX55" t="inlineStr">
        <is>
          <t>校準後集成</t>
        </is>
      </c>
      <c r="AY55" s="7">
        <v>35.01</v>
      </c>
      <c r="AZ55" s="7">
        <v>33.27</v>
      </c>
      <c r="BA55" s="7">
        <v>31.72</v>
      </c>
      <c r="BB55" t="inlineStr">
        <is>
          <t>持平</t>
        </is>
      </c>
      <c r="BC55" s="7">
        <v>-20.96</v>
      </c>
      <c r="BD55" s="7">
        <v>23.73</v>
      </c>
      <c r="BE55" s="7">
        <v>-7.85</v>
      </c>
      <c r="BF55" s="7">
        <v>6.66</v>
      </c>
      <c r="BG55" t="inlineStr">
        <is>
          <t>總經面 +0.83%（P漲 35%／P跌 32% → 持平）、產業鏈面 無訊號、歷史類比面 +0.96%（P漲 35%／P跌 31% → 持平）、位階面 無訊號；持平帶 ±7.71%（σ_h 17.92%×0.43），各面假設實際報酬是以預估值為中心、σ_h 為標準差的常態。投票 持平 2，綜合判斷持平（2／2 面同向）；綜合機率 P漲 35%／P跌 32%（2 面平均）→ 持平。幅度推演：預測報酬 +0.81%（P漲 35%／P跌 32% → 持平），80% 結果區間 -20.96～+23.73%。</t>
        </is>
      </c>
      <c r="BH55" t="inlineStr">
        <is>
          <t>未到期</t>
        </is>
      </c>
    </row>
    <row r="56">
      <c r="A56" t="inlineStr">
        <is>
          <t>SC-2026-09-ci_energy-H6</t>
        </is>
      </c>
      <c r="B56" t="inlineStr">
        <is>
          <t>SC-2026-09</t>
        </is>
      </c>
      <c r="C56" t="inlineStr">
        <is>
          <t>2026-10-12</t>
        </is>
      </c>
      <c r="D56" t="inlineStr">
        <is>
          <t>2026-09</t>
        </is>
      </c>
      <c r="E56" t="inlineStr">
        <is>
          <t>2026-09</t>
        </is>
      </c>
      <c r="F56" s="8">
        <v>6</v>
      </c>
      <c r="G56" t="inlineStr">
        <is>
          <t>2027-04</t>
        </is>
      </c>
      <c r="H56" t="inlineStr">
        <is>
          <t>能源指數</t>
        </is>
      </c>
      <c r="I56" t="inlineStr">
        <is>
          <t>ci_energy</t>
        </is>
      </c>
      <c r="J56" s="7">
        <v>2.67</v>
      </c>
      <c r="K56" s="7">
        <v>24.37</v>
      </c>
      <c r="L56" s="8">
        <v>374</v>
      </c>
      <c r="M56" s="7">
        <v>10.48</v>
      </c>
      <c r="N56" s="7">
        <v>4.24</v>
      </c>
      <c r="O56" s="7">
        <v>39.9</v>
      </c>
      <c r="P56" s="7">
        <v>32.81</v>
      </c>
      <c r="Q56" s="7">
        <v>27.29</v>
      </c>
      <c r="R56" t="inlineStr">
        <is>
          <t>持平</t>
        </is>
      </c>
      <c r="S56" t="inlineStr">
        <is>
          <t>校準後：平常 +2.67% ＋ 模型超額 +1.57%</t>
        </is>
      </c>
      <c r="U56" t="inlineStr">
        <is>
          <t>無訊號</t>
        </is>
      </c>
      <c r="AA56" s="7">
        <v>-0.15</v>
      </c>
      <c r="AB56" s="7">
        <v>33.13</v>
      </c>
      <c r="AC56" s="7">
        <v>33.29</v>
      </c>
      <c r="AD56" s="7">
        <v>33.58</v>
      </c>
      <c r="AE56" t="inlineStr">
        <is>
          <t>持平</t>
        </is>
      </c>
      <c r="AF56" t="inlineStr">
        <is>
          <t>沒有確切標的資料：平常 +2.67% ＋ 相似時點中位超額 -2.82%</t>
        </is>
      </c>
      <c r="AK56" t="inlineStr">
        <is>
          <t>無訊號</t>
        </is>
      </c>
      <c r="AL56" t="inlineStr">
        <is>
          <t>沒有位階資料</t>
        </is>
      </c>
      <c r="AM56" t="inlineStr">
        <is>
          <t>持平</t>
        </is>
      </c>
      <c r="AN56" s="8">
        <v>0</v>
      </c>
      <c r="AO56" s="8">
        <v>2</v>
      </c>
      <c r="AP56" s="8">
        <v>0</v>
      </c>
      <c r="AQ56" t="inlineStr">
        <is>
          <t>2／2 面同向</t>
        </is>
      </c>
      <c r="AR56" s="7">
        <v>36.52</v>
      </c>
      <c r="AS56" s="7">
        <v>33.05</v>
      </c>
      <c r="AT56" s="7">
        <v>30.43</v>
      </c>
      <c r="AU56" s="8">
        <v>2</v>
      </c>
      <c r="AV56" t="inlineStr">
        <is>
          <t>持平</t>
        </is>
      </c>
      <c r="AW56" s="7">
        <v>4.05</v>
      </c>
      <c r="AX56" t="inlineStr">
        <is>
          <t>校準後集成</t>
        </is>
      </c>
      <c r="AY56" s="7">
        <v>39.59</v>
      </c>
      <c r="AZ56" s="7">
        <v>32.86</v>
      </c>
      <c r="BA56" s="7">
        <v>27.55</v>
      </c>
      <c r="BB56" t="inlineStr">
        <is>
          <t>持平</t>
        </is>
      </c>
      <c r="BC56" s="7">
        <v>-24.33</v>
      </c>
      <c r="BD56" s="7">
        <v>32.46</v>
      </c>
      <c r="BE56" s="7">
        <v>8.38</v>
      </c>
      <c r="BF56" s="7">
        <v>29.59</v>
      </c>
      <c r="BG56" t="inlineStr">
        <is>
          <t>總經面 +4.24%（P漲 40%／P跌 27% → 持平）、產業鏈面 無訊號、歷史類比面 -0.15%（P漲 33%／P跌 34% → 持平）、位階面 無訊號；持平帶 ±10.48%（σ_h 24.37%×0.43），各面假設實際報酬是以預估值為中心、σ_h 為標準差的常態。投票 持平 2，綜合判斷持平（2／2 面同向）；綜合機率 P漲 37%／P跌 30%（2 面平均）→ 持平。幅度推演：預測報酬 +4.05%（P漲 40%／P跌 28% → 持平），80% 結果區間 -24.33～+32.46%。</t>
        </is>
      </c>
      <c r="BH56" t="inlineStr">
        <is>
          <t>未到期</t>
        </is>
      </c>
    </row>
    <row r="57">
      <c r="A57" t="inlineStr">
        <is>
          <t>SC-2026-09-ci_agri-H6</t>
        </is>
      </c>
      <c r="B57" t="inlineStr">
        <is>
          <t>SC-2026-09</t>
        </is>
      </c>
      <c r="C57" t="inlineStr">
        <is>
          <t>2026-10-12</t>
        </is>
      </c>
      <c r="D57" t="inlineStr">
        <is>
          <t>2026-09</t>
        </is>
      </c>
      <c r="E57" t="inlineStr">
        <is>
          <t>2026-09</t>
        </is>
      </c>
      <c r="F57" s="8">
        <v>6</v>
      </c>
      <c r="G57" t="inlineStr">
        <is>
          <t>2027-04</t>
        </is>
      </c>
      <c r="H57" t="inlineStr">
        <is>
          <t>農產品指數</t>
        </is>
      </c>
      <c r="I57" t="inlineStr">
        <is>
          <t>ci_agri</t>
        </is>
      </c>
      <c r="J57" s="7">
        <v>0.9</v>
      </c>
      <c r="K57" s="7">
        <v>8.67</v>
      </c>
      <c r="L57" s="8">
        <v>374</v>
      </c>
      <c r="M57" s="7">
        <v>3.73</v>
      </c>
      <c r="N57" s="7">
        <v>0.98</v>
      </c>
      <c r="O57" s="7">
        <v>37.56</v>
      </c>
      <c r="P57" s="7">
        <v>33.09</v>
      </c>
      <c r="Q57" s="7">
        <v>29.35</v>
      </c>
      <c r="R57" t="inlineStr">
        <is>
          <t>持平</t>
        </is>
      </c>
      <c r="S57" t="inlineStr">
        <is>
          <t>校準後：平常 +0.90% ＋ 模型超額 +0.08%</t>
        </is>
      </c>
      <c r="T57" s="7">
        <v>7.0</v>
      </c>
      <c r="U57" t="inlineStr">
        <is>
          <t>漲</t>
        </is>
      </c>
      <c r="V57" t="inlineStr">
        <is>
          <t>肥料到糧價</t>
        </is>
      </c>
      <c r="W57" t="inlineStr">
        <is>
          <t>農產品上漲</t>
        </is>
      </c>
      <c r="X57" t="inlineStr">
        <is>
          <t>fertilizer_agri</t>
        </is>
      </c>
      <c r="Y57" s="7">
        <v>32.0</v>
      </c>
      <c r="Z57" s="7">
        <v>25.0</v>
      </c>
      <c r="AA57" s="7">
        <v>-0.9</v>
      </c>
      <c r="AB57" s="7">
        <v>29.67</v>
      </c>
      <c r="AC57" s="7">
        <v>33.12</v>
      </c>
      <c r="AD57" s="7">
        <v>37.21</v>
      </c>
      <c r="AE57" t="inlineStr">
        <is>
          <t>持平</t>
        </is>
      </c>
      <c r="AF57" t="inlineStr">
        <is>
          <t>相似時點 11 段（24 個月）之後 6 個月的中位報酬</t>
        </is>
      </c>
      <c r="AK57" t="inlineStr">
        <is>
          <t>無訊號</t>
        </is>
      </c>
      <c r="AL57" t="inlineStr">
        <is>
          <t>10 年位階 94.0%（最高 20%）這一組只有 2 段（少於 3 段）</t>
        </is>
      </c>
      <c r="AM57" t="inlineStr">
        <is>
          <t>持平</t>
        </is>
      </c>
      <c r="AN57" s="8">
        <v>1</v>
      </c>
      <c r="AO57" s="8">
        <v>2</v>
      </c>
      <c r="AP57" s="8">
        <v>0</v>
      </c>
      <c r="AQ57" t="inlineStr">
        <is>
          <t>2／3 面同向</t>
        </is>
      </c>
      <c r="AR57" s="7">
        <v>33.62</v>
      </c>
      <c r="AS57" s="7">
        <v>33.11</v>
      </c>
      <c r="AT57" s="7">
        <v>33.28</v>
      </c>
      <c r="AU57" s="8">
        <v>2</v>
      </c>
      <c r="AV57" t="inlineStr">
        <is>
          <t>持平</t>
        </is>
      </c>
      <c r="AW57" s="7">
        <v>0.88</v>
      </c>
      <c r="AX57" t="inlineStr">
        <is>
          <t>校準後集成</t>
        </is>
      </c>
      <c r="AY57" s="7">
        <v>37.12</v>
      </c>
      <c r="AZ57" s="7">
        <v>33.13</v>
      </c>
      <c r="BA57" s="7">
        <v>29.75</v>
      </c>
      <c r="BB57" t="inlineStr">
        <is>
          <t>持平</t>
        </is>
      </c>
      <c r="BC57" s="7">
        <v>-8.66</v>
      </c>
      <c r="BD57" s="7">
        <v>11.51</v>
      </c>
      <c r="BE57" s="7">
        <v>-1.48</v>
      </c>
      <c r="BF57" s="7">
        <v>4.93</v>
      </c>
      <c r="BG57" t="inlineStr">
        <is>
          <t>總經面 +0.98%（P漲 38%／P跌 29% → 持平）、產業鏈面「農產品上漲」機率 32%、平常 25%（漲）、歷史類比面 -0.90%（P漲 30%／P跌 37% → 持平）、位階面 無訊號；持平帶 ±3.73%（σ_h 8.67%×0.43），各面假設實際報酬是以預估值為中心、σ_h 為標準差的常態。投票 漲 1、持平 2，綜合判斷持平（2／3 面同向）；綜合機率 P漲 34%／P跌 33%（2 面平均）→ 持平。幅度推演：預測報酬 +0.88%（P漲 37%／P跌 30% → 持平），80% 結果區間 -8.66～+11.51%。</t>
        </is>
      </c>
      <c r="BH57" t="inlineStr">
        <is>
          <t>未到期</t>
        </is>
      </c>
    </row>
    <row r="58">
      <c r="A58" t="inlineStr">
        <is>
          <t>SC-2026-09-ci_metals-H6</t>
        </is>
      </c>
      <c r="B58" t="inlineStr">
        <is>
          <t>SC-2026-09</t>
        </is>
      </c>
      <c r="C58" t="inlineStr">
        <is>
          <t>2026-10-12</t>
        </is>
      </c>
      <c r="D58" t="inlineStr">
        <is>
          <t>2026-09</t>
        </is>
      </c>
      <c r="E58" t="inlineStr">
        <is>
          <t>2026-09</t>
        </is>
      </c>
      <c r="F58" s="8">
        <v>6</v>
      </c>
      <c r="G58" t="inlineStr">
        <is>
          <t>2027-04</t>
        </is>
      </c>
      <c r="H58" t="inlineStr">
        <is>
          <t>金屬與礦產指數</t>
        </is>
      </c>
      <c r="I58" t="inlineStr">
        <is>
          <t>ci_metals</t>
        </is>
      </c>
      <c r="J58" s="7">
        <v>1.81</v>
      </c>
      <c r="K58" s="7">
        <v>16.48</v>
      </c>
      <c r="L58" s="8">
        <v>374</v>
      </c>
      <c r="M58" s="7">
        <v>7.09</v>
      </c>
      <c r="N58" s="7">
        <v>2.38</v>
      </c>
      <c r="O58" s="7">
        <v>38.75</v>
      </c>
      <c r="P58" s="7">
        <v>32.97</v>
      </c>
      <c r="Q58" s="7">
        <v>28.28</v>
      </c>
      <c r="R58" t="inlineStr">
        <is>
          <t>持平</t>
        </is>
      </c>
      <c r="S58" t="inlineStr">
        <is>
          <t>校準後：平常 +1.81% ＋ 模型超額 +0.57%</t>
        </is>
      </c>
      <c r="T58" s="7">
        <v>12.0</v>
      </c>
      <c r="U58" t="inlineStr">
        <is>
          <t>跌</t>
        </is>
      </c>
      <c r="V58" t="inlineStr">
        <is>
          <t>跨鏈下一波</t>
        </is>
      </c>
      <c r="W58" t="inlineStr">
        <is>
          <t>金屬價格下跌</t>
        </is>
      </c>
      <c r="X58" t="inlineStr">
        <is>
          <t>china_metals</t>
        </is>
      </c>
      <c r="Y58" s="7">
        <v>77.0</v>
      </c>
      <c r="Z58" s="7">
        <v>65.0</v>
      </c>
      <c r="AA58" s="7">
        <v>3.15</v>
      </c>
      <c r="AB58" s="7">
        <v>40.55</v>
      </c>
      <c r="AC58" s="7">
        <v>32.73</v>
      </c>
      <c r="AD58" s="7">
        <v>26.72</v>
      </c>
      <c r="AE58" t="inlineStr">
        <is>
          <t>漲</t>
        </is>
      </c>
      <c r="AF58" t="inlineStr">
        <is>
          <t>沒有確切標的資料：平常 +1.81% ＋ 相似時點中位超額 +1.34%</t>
        </is>
      </c>
      <c r="AK58" t="inlineStr">
        <is>
          <t>無訊號</t>
        </is>
      </c>
      <c r="AL58" t="inlineStr">
        <is>
          <t>沒有位階資料</t>
        </is>
      </c>
      <c r="AM58" t="inlineStr">
        <is>
          <t>持平</t>
        </is>
      </c>
      <c r="AN58" s="8">
        <v>1</v>
      </c>
      <c r="AO58" s="8">
        <v>1</v>
      </c>
      <c r="AP58" s="8">
        <v>1</v>
      </c>
      <c r="AQ58" t="inlineStr">
        <is>
          <t>平手（漲 1、持平 1、跌 1）</t>
        </is>
      </c>
      <c r="AR58" s="7">
        <v>39.65</v>
      </c>
      <c r="AS58" s="7">
        <v>32.85</v>
      </c>
      <c r="AT58" s="7">
        <v>27.5</v>
      </c>
      <c r="AU58" s="8">
        <v>2</v>
      </c>
      <c r="AV58" t="inlineStr">
        <is>
          <t>持平</t>
        </is>
      </c>
      <c r="AW58" s="7">
        <v>2.57</v>
      </c>
      <c r="AX58" t="inlineStr">
        <is>
          <t>校準後集成</t>
        </is>
      </c>
      <c r="AY58" s="7">
        <v>39.19</v>
      </c>
      <c r="AZ58" s="7">
        <v>32.92</v>
      </c>
      <c r="BA58" s="7">
        <v>27.89</v>
      </c>
      <c r="BB58" t="inlineStr">
        <is>
          <t>持平</t>
        </is>
      </c>
      <c r="BC58" s="7">
        <v>-13.13</v>
      </c>
      <c r="BD58" s="7">
        <v>22.04</v>
      </c>
      <c r="BE58" s="7">
        <v>2.33</v>
      </c>
      <c r="BF58" s="7">
        <v>13.58</v>
      </c>
      <c r="BG58" t="inlineStr">
        <is>
          <t>總經面 +2.38%（P漲 39%／P跌 28% → 持平）、產業鏈面「金屬價格下跌」機率 77%、平常 65%（跌）、歷史類比面 +3.15%（P漲 41%／P跌 27% → 漲）、位階面 無訊號；持平帶 ±7.09%（σ_h 16.48%×0.43），各面假設實際報酬是以預估值為中心、σ_h 為標準差的常態。投票 漲 1、持平 1、跌 1 平手，綜合記為持平；綜合機率 P漲 40%／P跌 28%（2 面平均）→ 持平。幅度推演：預測報酬 +2.57%（P漲 39%／P跌 28% → 持平），80% 結果區間 -13.13～+22.04%。</t>
        </is>
      </c>
      <c r="BH58" t="inlineStr">
        <is>
          <t>未到期</t>
        </is>
      </c>
    </row>
    <row r="59">
      <c r="A59" t="inlineStr">
        <is>
          <t>SC-2026-09-ci_precious-H6</t>
        </is>
      </c>
      <c r="B59" t="inlineStr">
        <is>
          <t>SC-2026-09</t>
        </is>
      </c>
      <c r="C59" t="inlineStr">
        <is>
          <t>2026-10-12</t>
        </is>
      </c>
      <c r="D59" t="inlineStr">
        <is>
          <t>2026-09</t>
        </is>
      </c>
      <c r="E59" t="inlineStr">
        <is>
          <t>2026-09</t>
        </is>
      </c>
      <c r="F59" s="8">
        <v>6</v>
      </c>
      <c r="G59" t="inlineStr">
        <is>
          <t>2027-04</t>
        </is>
      </c>
      <c r="H59" t="inlineStr">
        <is>
          <t>貴金屬指數</t>
        </is>
      </c>
      <c r="I59" t="inlineStr">
        <is>
          <t>ci_precious</t>
        </is>
      </c>
      <c r="J59" s="7">
        <v>3.91</v>
      </c>
      <c r="K59" s="7">
        <v>11.43</v>
      </c>
      <c r="L59" s="8">
        <v>374</v>
      </c>
      <c r="M59" s="7">
        <v>4.91</v>
      </c>
      <c r="N59" s="7">
        <v>3.89</v>
      </c>
      <c r="O59" s="7">
        <v>46.44</v>
      </c>
      <c r="P59" s="7">
        <v>31.49</v>
      </c>
      <c r="Q59" s="7">
        <v>22.07</v>
      </c>
      <c r="R59" t="inlineStr">
        <is>
          <t>漲</t>
        </is>
      </c>
      <c r="S59" t="inlineStr">
        <is>
          <t>校準後：平常 +3.91% ＋ 模型超額 -0.02%</t>
        </is>
      </c>
      <c r="U59" t="inlineStr">
        <is>
          <t>無訊號</t>
        </is>
      </c>
      <c r="AA59" s="7">
        <v>2.75</v>
      </c>
      <c r="AB59" s="7">
        <v>42.51</v>
      </c>
      <c r="AC59" s="7">
        <v>32.35</v>
      </c>
      <c r="AD59" s="7">
        <v>25.14</v>
      </c>
      <c r="AE59" t="inlineStr">
        <is>
          <t>漲</t>
        </is>
      </c>
      <c r="AF59" t="inlineStr">
        <is>
          <t>沒有確切標的資料：平常 +3.91% ＋ 相似時點中位超額 -1.16%</t>
        </is>
      </c>
      <c r="AK59" t="inlineStr">
        <is>
          <t>無訊號</t>
        </is>
      </c>
      <c r="AL59" t="inlineStr">
        <is>
          <t>沒有位階資料</t>
        </is>
      </c>
      <c r="AM59" t="inlineStr">
        <is>
          <t>漲</t>
        </is>
      </c>
      <c r="AN59" s="8">
        <v>2</v>
      </c>
      <c r="AO59" s="8">
        <v>0</v>
      </c>
      <c r="AP59" s="8">
        <v>0</v>
      </c>
      <c r="AQ59" t="inlineStr">
        <is>
          <t>2／2 面同向</t>
        </is>
      </c>
      <c r="AR59" s="7">
        <v>44.47</v>
      </c>
      <c r="AS59" s="7">
        <v>31.92</v>
      </c>
      <c r="AT59" s="7">
        <v>23.61</v>
      </c>
      <c r="AU59" s="8">
        <v>2</v>
      </c>
      <c r="AV59" t="inlineStr">
        <is>
          <t>漲</t>
        </is>
      </c>
      <c r="AW59" s="7">
        <v>3.77</v>
      </c>
      <c r="AX59" t="inlineStr">
        <is>
          <t>校準後集成</t>
        </is>
      </c>
      <c r="AY59" s="7">
        <v>46.03</v>
      </c>
      <c r="AZ59" s="7">
        <v>31.59</v>
      </c>
      <c r="BA59" s="7">
        <v>22.38</v>
      </c>
      <c r="BB59" t="inlineStr">
        <is>
          <t>漲</t>
        </is>
      </c>
      <c r="BC59" s="7">
        <v>-9.09</v>
      </c>
      <c r="BD59" s="7">
        <v>18.22</v>
      </c>
      <c r="BE59" s="7">
        <v>1.22</v>
      </c>
      <c r="BF59" s="7">
        <v>7.87</v>
      </c>
      <c r="BG59" t="inlineStr">
        <is>
          <t>總經面 +3.89%（P漲 46%／P跌 22% → 漲）、產業鏈面 無訊號、歷史類比面 +2.75%（P漲 43%／P跌 25% → 漲）、位階面 無訊號；持平帶 ±4.91%（σ_h 11.43%×0.43），各面假設實際報酬是以預估值為中心、σ_h 為標準差的常態。投票 漲 2，綜合判斷漲（2／2 面同向）；綜合機率 P漲 44%／P跌 24%（2 面平均）→ 漲。幅度推演：預測報酬 +3.77%（P漲 46%／P跌 22% → 漲），80% 結果區間 -9.09～+18.22%。</t>
        </is>
      </c>
      <c r="BH59" t="inlineStr">
        <is>
          <t>未到期</t>
        </is>
      </c>
    </row>
    <row r="60">
      <c r="A60" t="inlineStr">
        <is>
          <t>SC-2026-09-fx_dxy-H6</t>
        </is>
      </c>
      <c r="B60" t="inlineStr">
        <is>
          <t>SC-2026-09</t>
        </is>
      </c>
      <c r="C60" t="inlineStr">
        <is>
          <t>2026-10-12</t>
        </is>
      </c>
      <c r="D60" t="inlineStr">
        <is>
          <t>2026-09</t>
        </is>
      </c>
      <c r="E60" t="inlineStr">
        <is>
          <t>2026-09</t>
        </is>
      </c>
      <c r="F60" s="8">
        <v>6</v>
      </c>
      <c r="G60" t="inlineStr">
        <is>
          <t>2027-03</t>
        </is>
      </c>
      <c r="H60" t="inlineStr">
        <is>
          <t>美元指數 DXY</t>
        </is>
      </c>
      <c r="I60" t="inlineStr">
        <is>
          <t>fx_dxy</t>
        </is>
      </c>
      <c r="J60" s="7">
        <v>0.28</v>
      </c>
      <c r="K60" s="7">
        <v>5.6</v>
      </c>
      <c r="L60" s="8">
        <v>375</v>
      </c>
      <c r="M60" s="7">
        <v>2.41</v>
      </c>
      <c r="N60" s="7">
        <v>0.32</v>
      </c>
      <c r="O60" s="7">
        <v>35.45</v>
      </c>
      <c r="P60" s="7">
        <v>33.25</v>
      </c>
      <c r="Q60" s="7">
        <v>31.3</v>
      </c>
      <c r="R60" t="inlineStr">
        <is>
          <t>持平</t>
        </is>
      </c>
      <c r="S60" t="inlineStr">
        <is>
          <t>校準後：平常 +0.28% ＋ 模型超額 +0.04%</t>
        </is>
      </c>
      <c r="U60" t="inlineStr">
        <is>
          <t>無訊號</t>
        </is>
      </c>
      <c r="AA60" s="7">
        <v>-0.5</v>
      </c>
      <c r="AB60" s="7">
        <v>30.17</v>
      </c>
      <c r="AC60" s="7">
        <v>33.18</v>
      </c>
      <c r="AD60" s="7">
        <v>36.65</v>
      </c>
      <c r="AE60" t="inlineStr">
        <is>
          <t>持平</t>
        </is>
      </c>
      <c r="AF60" t="inlineStr">
        <is>
          <t>相似時點 11 段（24 個月）之後 6 個月的中位報酬</t>
        </is>
      </c>
      <c r="AG60" s="7">
        <v>1.5</v>
      </c>
      <c r="AH60" s="7">
        <v>43.55</v>
      </c>
      <c r="AI60" s="7">
        <v>32.2</v>
      </c>
      <c r="AJ60" s="7">
        <v>24.25</v>
      </c>
      <c r="AK60" t="inlineStr">
        <is>
          <t>漲</t>
        </is>
      </c>
      <c r="AL60" t="inlineStr">
        <is>
          <t>10 年位階 70.0%（60～80%），這一組歷史 12 段之後 6 個月的中位報酬</t>
        </is>
      </c>
      <c r="AM60" t="inlineStr">
        <is>
          <t>持平</t>
        </is>
      </c>
      <c r="AN60" s="8">
        <v>1</v>
      </c>
      <c r="AO60" s="8">
        <v>2</v>
      </c>
      <c r="AP60" s="8">
        <v>0</v>
      </c>
      <c r="AQ60" t="inlineStr">
        <is>
          <t>2／3 面同向</t>
        </is>
      </c>
      <c r="AR60" s="7">
        <v>36.39</v>
      </c>
      <c r="AS60" s="7">
        <v>32.88</v>
      </c>
      <c r="AT60" s="7">
        <v>30.73</v>
      </c>
      <c r="AU60" s="8">
        <v>3</v>
      </c>
      <c r="AV60" t="inlineStr">
        <is>
          <t>持平</t>
        </is>
      </c>
      <c r="AW60" s="7">
        <v>0.23</v>
      </c>
      <c r="AX60" t="inlineStr">
        <is>
          <t>校準後集成</t>
        </is>
      </c>
      <c r="AY60" s="7">
        <v>34.85</v>
      </c>
      <c r="AZ60" s="7">
        <v>33.28</v>
      </c>
      <c r="BA60" s="7">
        <v>31.87</v>
      </c>
      <c r="BB60" t="inlineStr">
        <is>
          <t>持平</t>
        </is>
      </c>
      <c r="BC60" s="7">
        <v>-7.27</v>
      </c>
      <c r="BD60" s="7">
        <v>6.98</v>
      </c>
      <c r="BE60" s="7">
        <v>-1.09</v>
      </c>
      <c r="BF60" s="7">
        <v>2.55</v>
      </c>
      <c r="BG60" t="inlineStr">
        <is>
          <t>總經面 +0.32%（P漲 35%／P跌 31% → 持平）、產業鏈面 無訊號、歷史類比面 -0.50%（P漲 30%／P跌 37% → 持平）、位階面 +1.50%（P漲 44%／P跌 24% → 漲）；持平帶 ±2.41%（σ_h 5.60%×0.43），各面假設實際報酬是以預估值為中心、σ_h 為標準差的常態。投票 漲 1、持平 2，綜合判斷持平（2／3 面同向）；綜合機率 P漲 36%／P跌 31%（3 面平均）→ 持平。幅度推演：預測報酬 +0.23%（P漲 35%／P跌 32% → 持平），80% 結果區間 -7.27～+6.98%。</t>
        </is>
      </c>
      <c r="BH60" t="inlineStr">
        <is>
          <t>未到期</t>
        </is>
      </c>
    </row>
    <row r="61">
      <c r="A61" t="inlineStr">
        <is>
          <t>SC-2026-09-fx_usdtwd-H6</t>
        </is>
      </c>
      <c r="B61" t="inlineStr">
        <is>
          <t>SC-2026-09</t>
        </is>
      </c>
      <c r="C61" t="inlineStr">
        <is>
          <t>2026-10-12</t>
        </is>
      </c>
      <c r="D61" t="inlineStr">
        <is>
          <t>2026-09</t>
        </is>
      </c>
      <c r="E61" t="inlineStr">
        <is>
          <t>2026-09</t>
        </is>
      </c>
      <c r="F61" s="8">
        <v>6</v>
      </c>
      <c r="G61" t="inlineStr">
        <is>
          <t>2027-04</t>
        </is>
      </c>
      <c r="H61" t="inlineStr">
        <is>
          <t>美元/新台幣</t>
        </is>
      </c>
      <c r="I61" t="inlineStr">
        <is>
          <t>fx_usdtwd</t>
        </is>
      </c>
      <c r="J61" s="7">
        <v>0.33</v>
      </c>
      <c r="K61" s="7">
        <v>4.11</v>
      </c>
      <c r="L61" s="8">
        <v>374</v>
      </c>
      <c r="M61" s="7">
        <v>1.77</v>
      </c>
      <c r="N61" s="7">
        <v>0.23</v>
      </c>
      <c r="O61" s="7">
        <v>35.39</v>
      </c>
      <c r="P61" s="7">
        <v>33.28</v>
      </c>
      <c r="Q61" s="7">
        <v>31.33</v>
      </c>
      <c r="R61" t="inlineStr">
        <is>
          <t>持平</t>
        </is>
      </c>
      <c r="S61" t="inlineStr">
        <is>
          <t>校準後：平常 +0.33% ＋ 模型超額 -0.10%</t>
        </is>
      </c>
      <c r="T61" s="7">
        <v>12.0</v>
      </c>
      <c r="U61" t="inlineStr">
        <is>
          <t>跌</t>
        </is>
      </c>
      <c r="V61" t="inlineStr">
        <is>
          <t>跨鏈下一波</t>
        </is>
      </c>
      <c r="W61" t="inlineStr">
        <is>
          <t>新台幣轉強</t>
        </is>
      </c>
      <c r="X61" t="inlineStr">
        <is>
          <t>cycle_twd</t>
        </is>
      </c>
      <c r="Y61" s="7">
        <v>76.0</v>
      </c>
      <c r="Z61" s="7">
        <v>64.0</v>
      </c>
      <c r="AA61" s="7">
        <v>0.0</v>
      </c>
      <c r="AB61" s="7">
        <v>33.34</v>
      </c>
      <c r="AC61" s="7">
        <v>33.32</v>
      </c>
      <c r="AD61" s="7">
        <v>33.34</v>
      </c>
      <c r="AE61" t="inlineStr">
        <is>
          <t>持平</t>
        </is>
      </c>
      <c r="AF61" t="inlineStr">
        <is>
          <t>相似時點 11 段（24 個月）之後 6 個月的中位報酬</t>
        </is>
      </c>
      <c r="AG61" s="7">
        <v>-1.4</v>
      </c>
      <c r="AH61" s="7">
        <v>22.03</v>
      </c>
      <c r="AI61" s="7">
        <v>31.56</v>
      </c>
      <c r="AJ61" s="7">
        <v>46.41</v>
      </c>
      <c r="AK61" t="inlineStr">
        <is>
          <t>跌</t>
        </is>
      </c>
      <c r="AL61" t="inlineStr">
        <is>
          <t>10 年位階 80.0%（60～80%），這一組歷史 15 段之後 6 個月的中位報酬</t>
        </is>
      </c>
      <c r="AM61" t="inlineStr">
        <is>
          <t>持平</t>
        </is>
      </c>
      <c r="AN61" s="8">
        <v>0</v>
      </c>
      <c r="AO61" s="8">
        <v>2</v>
      </c>
      <c r="AP61" s="8">
        <v>2</v>
      </c>
      <c r="AQ61" t="inlineStr">
        <is>
          <t>平手（持平 2、跌 2）</t>
        </is>
      </c>
      <c r="AR61" s="7">
        <v>30.25</v>
      </c>
      <c r="AS61" s="7">
        <v>32.72</v>
      </c>
      <c r="AT61" s="7">
        <v>37.03</v>
      </c>
      <c r="AU61" s="8">
        <v>3</v>
      </c>
      <c r="AV61" t="inlineStr">
        <is>
          <t>持平</t>
        </is>
      </c>
      <c r="AW61" s="7">
        <v>0.21</v>
      </c>
      <c r="AX61" t="inlineStr">
        <is>
          <t>校準後集成</t>
        </is>
      </c>
      <c r="AY61" s="7">
        <v>35.21</v>
      </c>
      <c r="AZ61" s="7">
        <v>33.29</v>
      </c>
      <c r="BA61" s="7">
        <v>31.5</v>
      </c>
      <c r="BB61" t="inlineStr">
        <is>
          <t>持平</t>
        </is>
      </c>
      <c r="BC61" s="7">
        <v>-4.37</v>
      </c>
      <c r="BD61" s="7">
        <v>5.47</v>
      </c>
      <c r="BE61" s="7">
        <v>-1.55</v>
      </c>
      <c r="BF61" s="7">
        <v>0.57</v>
      </c>
      <c r="BG61" t="inlineStr">
        <is>
          <t>總經面 +0.23%（P漲 35%／P跌 31% → 持平）、產業鏈面「新台幣轉強」機率 76%、平常 64%（跌）、歷史類比面 +0.00%（P漲 33%／P跌 33% → 持平）、位階面 -1.40%（P漲 22%／P跌 46% → 跌）；持平帶 ±1.77%（σ_h 4.11%×0.43），各面假設實際報酬是以預估值為中心、σ_h 為標準差的常態。投票 持平 2、跌 2 平手，綜合記為持平；綜合機率 P漲 30%／P跌 37%（3 面平均）→ 持平。幅度推演：預測報酬 +0.21%（P漲 35%／P跌 32% → 持平），80% 結果區間 -4.37～+5.47%。</t>
        </is>
      </c>
      <c r="BH61" t="inlineStr">
        <is>
          <t>未到期</t>
        </is>
      </c>
    </row>
    <row r="62">
      <c r="A62" t="inlineStr">
        <is>
          <t>SC-2026-09-fx_usdjpy-H6</t>
        </is>
      </c>
      <c r="B62" t="inlineStr">
        <is>
          <t>SC-2026-09</t>
        </is>
      </c>
      <c r="C62" t="inlineStr">
        <is>
          <t>2026-10-12</t>
        </is>
      </c>
      <c r="D62" t="inlineStr">
        <is>
          <t>2026-09</t>
        </is>
      </c>
      <c r="E62" t="inlineStr">
        <is>
          <t>2026-09</t>
        </is>
      </c>
      <c r="F62" s="8">
        <v>6</v>
      </c>
      <c r="G62" t="inlineStr">
        <is>
          <t>2027-04</t>
        </is>
      </c>
      <c r="H62" t="inlineStr">
        <is>
          <t>美元/日圓</t>
        </is>
      </c>
      <c r="I62" t="inlineStr">
        <is>
          <t>fx_usdjpy</t>
        </is>
      </c>
      <c r="J62" s="7">
        <v>0.95</v>
      </c>
      <c r="K62" s="7">
        <v>7.32</v>
      </c>
      <c r="L62" s="8">
        <v>374</v>
      </c>
      <c r="M62" s="7">
        <v>3.15</v>
      </c>
      <c r="N62" s="7">
        <v>1.17</v>
      </c>
      <c r="O62" s="7">
        <v>39.34</v>
      </c>
      <c r="P62" s="7">
        <v>32.91</v>
      </c>
      <c r="Q62" s="7">
        <v>27.75</v>
      </c>
      <c r="R62" t="inlineStr">
        <is>
          <t>持平</t>
        </is>
      </c>
      <c r="S62" t="inlineStr">
        <is>
          <t>校準後：平常 +0.95% ＋ 模型超額 +0.22%</t>
        </is>
      </c>
      <c r="U62" t="inlineStr">
        <is>
          <t>無訊號</t>
        </is>
      </c>
      <c r="AA62" s="7">
        <v>2.8</v>
      </c>
      <c r="AB62" s="7">
        <v>48.09</v>
      </c>
      <c r="AC62" s="7">
        <v>31.09</v>
      </c>
      <c r="AD62" s="7">
        <v>20.82</v>
      </c>
      <c r="AE62" t="inlineStr">
        <is>
          <t>漲</t>
        </is>
      </c>
      <c r="AF62" t="inlineStr">
        <is>
          <t>相似時點 11 段（24 個月）之後 6 個月的中位報酬</t>
        </is>
      </c>
      <c r="AG62" s="7">
        <v>0.1</v>
      </c>
      <c r="AH62" s="7">
        <v>33.85</v>
      </c>
      <c r="AI62" s="7">
        <v>33.3</v>
      </c>
      <c r="AJ62" s="7">
        <v>32.85</v>
      </c>
      <c r="AK62" t="inlineStr">
        <is>
          <t>持平</t>
        </is>
      </c>
      <c r="AL62" t="inlineStr">
        <is>
          <t>10 年位階 91.0%（最高 20%），這一組歷史 9 段之後 6 個月的中位報酬</t>
        </is>
      </c>
      <c r="AM62" t="inlineStr">
        <is>
          <t>持平</t>
        </is>
      </c>
      <c r="AN62" s="8">
        <v>1</v>
      </c>
      <c r="AO62" s="8">
        <v>2</v>
      </c>
      <c r="AP62" s="8">
        <v>0</v>
      </c>
      <c r="AQ62" t="inlineStr">
        <is>
          <t>2／3 面同向</t>
        </is>
      </c>
      <c r="AR62" s="7">
        <v>40.43</v>
      </c>
      <c r="AS62" s="7">
        <v>32.43</v>
      </c>
      <c r="AT62" s="7">
        <v>27.14</v>
      </c>
      <c r="AU62" s="8">
        <v>3</v>
      </c>
      <c r="AV62" t="inlineStr">
        <is>
          <t>漲</t>
        </is>
      </c>
      <c r="AW62" s="7">
        <v>1.37</v>
      </c>
      <c r="AX62" t="inlineStr">
        <is>
          <t>校準後集成</t>
        </is>
      </c>
      <c r="AY62" s="7">
        <v>40.39</v>
      </c>
      <c r="AZ62" s="7">
        <v>32.76</v>
      </c>
      <c r="BA62" s="7">
        <v>26.85</v>
      </c>
      <c r="BB62" t="inlineStr">
        <is>
          <t>漲</t>
        </is>
      </c>
      <c r="BC62" s="7">
        <v>-7.8</v>
      </c>
      <c r="BD62" s="7">
        <v>10.62</v>
      </c>
      <c r="BE62" s="7">
        <v>0.32</v>
      </c>
      <c r="BF62" s="7">
        <v>5.23</v>
      </c>
      <c r="BG62" t="inlineStr">
        <is>
          <t>總經面 +1.17%（P漲 39%／P跌 28% → 持平）、產業鏈面 無訊號、歷史類比面 +2.80%（P漲 48%／P跌 21% → 漲）、位階面 +0.10%（P漲 34%／P跌 33% → 持平）；持平帶 ±3.15%（σ_h 7.32%×0.43），各面假設實際報酬是以預估值為中心、σ_h 為標準差的常態。投票 漲 1、持平 2，綜合判斷持平（2／3 面同向）；綜合機率 P漲 40%／P跌 27%（3 面平均）→ 漲。幅度推演：預測報酬 +1.37%（P漲 40%／P跌 27% → 漲），80% 結果區間 -7.80～+10.62%。</t>
        </is>
      </c>
      <c r="BH62" t="inlineStr">
        <is>
          <t>未到期</t>
        </is>
      </c>
    </row>
    <row r="63">
      <c r="A63" t="inlineStr">
        <is>
          <t>SC-2026-09-fx_eurusd-H6</t>
        </is>
      </c>
      <c r="B63" t="inlineStr">
        <is>
          <t>SC-2026-09</t>
        </is>
      </c>
      <c r="C63" t="inlineStr">
        <is>
          <t>2026-10-12</t>
        </is>
      </c>
      <c r="D63" t="inlineStr">
        <is>
          <t>2026-09</t>
        </is>
      </c>
      <c r="E63" t="inlineStr">
        <is>
          <t>2026-09</t>
        </is>
      </c>
      <c r="F63" s="8">
        <v>6</v>
      </c>
      <c r="G63" t="inlineStr">
        <is>
          <t>2027-04</t>
        </is>
      </c>
      <c r="H63" t="inlineStr">
        <is>
          <t>歐元/美元</t>
        </is>
      </c>
      <c r="I63" t="inlineStr">
        <is>
          <t>fx_eurusd</t>
        </is>
      </c>
      <c r="J63" s="7">
        <v>-0.21</v>
      </c>
      <c r="K63" s="7">
        <v>6.44</v>
      </c>
      <c r="L63" s="8">
        <v>374</v>
      </c>
      <c r="M63" s="7">
        <v>2.77</v>
      </c>
      <c r="N63" s="7">
        <v>-0.26</v>
      </c>
      <c r="O63" s="7">
        <v>31.9</v>
      </c>
      <c r="P63" s="7">
        <v>33.26</v>
      </c>
      <c r="Q63" s="7">
        <v>34.84</v>
      </c>
      <c r="R63" t="inlineStr">
        <is>
          <t>持平</t>
        </is>
      </c>
      <c r="S63" t="inlineStr">
        <is>
          <t>校準後：平常 -0.21% ＋ 模型超額 -0.05%</t>
        </is>
      </c>
      <c r="U63" t="inlineStr">
        <is>
          <t>無訊號</t>
        </is>
      </c>
      <c r="AA63" s="7">
        <v>-1.39</v>
      </c>
      <c r="AB63" s="7">
        <v>25.92</v>
      </c>
      <c r="AC63" s="7">
        <v>32.56</v>
      </c>
      <c r="AD63" s="7">
        <v>41.52</v>
      </c>
      <c r="AE63" t="inlineStr">
        <is>
          <t>跌</t>
        </is>
      </c>
      <c r="AF63" t="inlineStr">
        <is>
          <t>沒有確切標的資料：平常 -0.21% ＋ 相似時點中位超額 -1.18%</t>
        </is>
      </c>
      <c r="AK63" t="inlineStr">
        <is>
          <t>無訊號</t>
        </is>
      </c>
      <c r="AL63" t="inlineStr">
        <is>
          <t>沒有位階資料</t>
        </is>
      </c>
      <c r="AM63" t="inlineStr">
        <is>
          <t>持平</t>
        </is>
      </c>
      <c r="AN63" s="8">
        <v>0</v>
      </c>
      <c r="AO63" s="8">
        <v>1</v>
      </c>
      <c r="AP63" s="8">
        <v>1</v>
      </c>
      <c r="AQ63" t="inlineStr">
        <is>
          <t>平手（持平 1、跌 1）</t>
        </is>
      </c>
      <c r="AR63" s="7">
        <v>28.91</v>
      </c>
      <c r="AS63" s="7">
        <v>32.91</v>
      </c>
      <c r="AT63" s="7">
        <v>38.18</v>
      </c>
      <c r="AU63" s="8">
        <v>2</v>
      </c>
      <c r="AV63" t="inlineStr">
        <is>
          <t>持平</t>
        </is>
      </c>
      <c r="AW63" s="7">
        <v>-0.39</v>
      </c>
      <c r="AX63" t="inlineStr">
        <is>
          <t>校準後集成</t>
        </is>
      </c>
      <c r="AY63" s="7">
        <v>31.18</v>
      </c>
      <c r="AZ63" s="7">
        <v>33.23</v>
      </c>
      <c r="BA63" s="7">
        <v>35.59</v>
      </c>
      <c r="BB63" t="inlineStr">
        <is>
          <t>持平</t>
        </is>
      </c>
      <c r="BC63" s="7">
        <v>-8.91</v>
      </c>
      <c r="BD63" s="7">
        <v>7.82</v>
      </c>
      <c r="BE63" s="7">
        <v>-2.94</v>
      </c>
      <c r="BF63" s="7">
        <v>1.78</v>
      </c>
      <c r="BG63" t="inlineStr">
        <is>
          <t>總經面 -0.26%（P漲 32%／P跌 35% → 持平）、產業鏈面 無訊號、歷史類比面 -1.39%（P漲 26%／P跌 42% → 跌）、位階面 無訊號；持平帶 ±2.77%（σ_h 6.44%×0.43），各面假設實際報酬是以預估值為中心、σ_h 為標準差的常態。投票 持平 1、跌 1 平手，綜合記為持平；綜合機率 P漲 29%／P跌 38%（2 面平均）→ 持平。幅度推演：預測報酬 -0.39%（P漲 31%／P跌 36% → 持平），80% 結果區間 -8.91～+7.82%。</t>
        </is>
      </c>
      <c r="BH63" t="inlineStr">
        <is>
          <t>未到期</t>
        </is>
      </c>
    </row>
    <row r="64">
      <c r="A64" t="inlineStr">
        <is>
          <t>SC-2026-09-eq_spx-H12</t>
        </is>
      </c>
      <c r="B64" t="inlineStr">
        <is>
          <t>SC-2026-09</t>
        </is>
      </c>
      <c r="C64" t="inlineStr">
        <is>
          <t>2026-10-12</t>
        </is>
      </c>
      <c r="D64" t="inlineStr">
        <is>
          <t>2026-09</t>
        </is>
      </c>
      <c r="E64" t="inlineStr">
        <is>
          <t>2026-09</t>
        </is>
      </c>
      <c r="F64" s="8">
        <v>12</v>
      </c>
      <c r="G64" t="inlineStr">
        <is>
          <t>2027-09</t>
        </is>
      </c>
      <c r="H64" t="inlineStr">
        <is>
          <t>S&amp;P 500</t>
        </is>
      </c>
      <c r="I64" t="inlineStr">
        <is>
          <t>eq_spx</t>
        </is>
      </c>
      <c r="J64" s="7">
        <v>8.37</v>
      </c>
      <c r="K64" s="7">
        <v>16.47</v>
      </c>
      <c r="L64" s="8">
        <v>369</v>
      </c>
      <c r="M64" s="7">
        <v>7.08</v>
      </c>
      <c r="N64" s="7">
        <v>13.64</v>
      </c>
      <c r="O64" s="7">
        <v>65.48</v>
      </c>
      <c r="P64" s="7">
        <v>24.1</v>
      </c>
      <c r="Q64" s="7">
        <v>10.42</v>
      </c>
      <c r="R64" t="inlineStr">
        <is>
          <t>漲</t>
        </is>
      </c>
      <c r="S64" t="inlineStr">
        <is>
          <t>未校準：平常 +8.37% ＋ 模型超額 +5.27%</t>
        </is>
      </c>
      <c r="T64" s="7">
        <v>-4.0</v>
      </c>
      <c r="U64" t="inlineStr">
        <is>
          <t>無訊號</t>
        </is>
      </c>
      <c r="V64" t="inlineStr">
        <is>
          <t>肥料到糧價</t>
        </is>
      </c>
      <c r="W64" t="inlineStr">
        <is>
          <t>美股下跌</t>
        </is>
      </c>
      <c r="X64" t="inlineStr">
        <is>
          <t>carry_spx</t>
        </is>
      </c>
      <c r="Y64" s="7">
        <v>58.0</v>
      </c>
      <c r="Z64" s="7">
        <v>62.0</v>
      </c>
      <c r="AA64" s="7">
        <v>13.9</v>
      </c>
      <c r="AB64" s="7">
        <v>66.06</v>
      </c>
      <c r="AC64" s="7">
        <v>23.8</v>
      </c>
      <c r="AD64" s="7">
        <v>10.14</v>
      </c>
      <c r="AE64" t="inlineStr">
        <is>
          <t>漲</t>
        </is>
      </c>
      <c r="AF64" t="inlineStr">
        <is>
          <t>相似時點 11 段（24 個月）之後 12 個月的中位報酬</t>
        </is>
      </c>
      <c r="AG64" s="7">
        <v>11.7</v>
      </c>
      <c r="AH64" s="7">
        <v>61.05</v>
      </c>
      <c r="AI64" s="7">
        <v>26.24</v>
      </c>
      <c r="AJ64" s="7">
        <v>12.71</v>
      </c>
      <c r="AK64" t="inlineStr">
        <is>
          <t>漲</t>
        </is>
      </c>
      <c r="AL64" t="inlineStr">
        <is>
          <t>10 年位階 99.0%（最高 20%），這一組歷史 6 段之後 12 個月的中位報酬</t>
        </is>
      </c>
      <c r="AM64" t="inlineStr">
        <is>
          <t>漲</t>
        </is>
      </c>
      <c r="AN64" s="8">
        <v>3</v>
      </c>
      <c r="AO64" s="8">
        <v>0</v>
      </c>
      <c r="AP64" s="8">
        <v>0</v>
      </c>
      <c r="AQ64" t="inlineStr">
        <is>
          <t>3／3 面同向</t>
        </is>
      </c>
      <c r="AR64" s="7">
        <v>64.2</v>
      </c>
      <c r="AS64" s="7">
        <v>24.71</v>
      </c>
      <c r="AT64" s="7">
        <v>11.09</v>
      </c>
      <c r="AU64" s="8">
        <v>3</v>
      </c>
      <c r="AV64" t="inlineStr">
        <is>
          <t>漲</t>
        </is>
      </c>
      <c r="AW64" s="7">
        <v>11.99</v>
      </c>
      <c r="AX64" t="inlineStr">
        <is>
          <t>未校準集成</t>
        </is>
      </c>
      <c r="AY64" s="7">
        <v>61.72</v>
      </c>
      <c r="AZ64" s="7">
        <v>25.93</v>
      </c>
      <c r="BA64" s="7">
        <v>12.35</v>
      </c>
      <c r="BB64" t="inlineStr">
        <is>
          <t>漲</t>
        </is>
      </c>
      <c r="BC64" s="7">
        <v>-10.82</v>
      </c>
      <c r="BD64" s="7">
        <v>28.5</v>
      </c>
      <c r="BE64" s="7">
        <v>8.87</v>
      </c>
      <c r="BF64" s="7">
        <v>17.33</v>
      </c>
      <c r="BG64" t="inlineStr">
        <is>
          <t>總經面 +13.64%（P漲 65%／P跌 10% → 漲）、產業鏈面「美股下跌」機率 58%、平常 62%（無訊號）、歷史類比面 +13.90%（P漲 66%／P跌 10% → 漲）、位階面 +11.70%（P漲 61%／P跌 13% → 漲）；持平帶 ±7.08%（σ_h 16.47%×0.43），各面假設實際報酬是以預估值為中心、σ_h 為標準差的常態。投票 漲 3，綜合判斷漲（3／3 面同向）；綜合機率 P漲 64%／P跌 11%（3 面平均）→ 漲。幅度推演：預測報酬 +11.99%（P漲 62%／P跌 12% → 漲），80% 結果區間 -10.82～+28.50%。</t>
        </is>
      </c>
      <c r="BH64" t="inlineStr">
        <is>
          <t>未到期</t>
        </is>
      </c>
    </row>
    <row r="65">
      <c r="A65" t="inlineStr">
        <is>
          <t>SC-2026-09-eq_ndx-H12</t>
        </is>
      </c>
      <c r="B65" t="inlineStr">
        <is>
          <t>SC-2026-09</t>
        </is>
      </c>
      <c r="C65" t="inlineStr">
        <is>
          <t>2026-10-12</t>
        </is>
      </c>
      <c r="D65" t="inlineStr">
        <is>
          <t>2026-09</t>
        </is>
      </c>
      <c r="E65" t="inlineStr">
        <is>
          <t>2026-09</t>
        </is>
      </c>
      <c r="F65" s="8">
        <v>12</v>
      </c>
      <c r="G65" t="inlineStr">
        <is>
          <t>2027-09</t>
        </is>
      </c>
      <c r="H65" t="inlineStr">
        <is>
          <t>那斯達克 100</t>
        </is>
      </c>
      <c r="I65" t="inlineStr">
        <is>
          <t>eq_ndx</t>
        </is>
      </c>
      <c r="J65" s="7">
        <v>12.87</v>
      </c>
      <c r="K65" s="7">
        <v>28.35</v>
      </c>
      <c r="L65" s="8">
        <v>369</v>
      </c>
      <c r="M65" s="7">
        <v>12.19</v>
      </c>
      <c r="N65" s="7">
        <v>21.41</v>
      </c>
      <c r="O65" s="7">
        <v>62.75</v>
      </c>
      <c r="P65" s="7">
        <v>25.45</v>
      </c>
      <c r="Q65" s="7">
        <v>11.8</v>
      </c>
      <c r="R65" t="inlineStr">
        <is>
          <t>漲</t>
        </is>
      </c>
      <c r="S65" t="inlineStr">
        <is>
          <t>未校準：平常 +12.87% ＋ 模型超額 +8.54%</t>
        </is>
      </c>
      <c r="T65" s="7">
        <v>0.0</v>
      </c>
      <c r="U65" t="inlineStr">
        <is>
          <t>無訊號</t>
        </is>
      </c>
      <c r="V65" t="inlineStr">
        <is>
          <t>通膨</t>
        </is>
      </c>
      <c r="W65" t="inlineStr">
        <is>
          <t>科技股下跌</t>
        </is>
      </c>
      <c r="X65" t="inlineStr">
        <is>
          <t>inflation_ndx</t>
        </is>
      </c>
      <c r="Y65" s="7">
        <v>76.0</v>
      </c>
      <c r="Z65" s="7">
        <v>76.0</v>
      </c>
      <c r="AA65" s="7">
        <v>21.3</v>
      </c>
      <c r="AB65" s="7">
        <v>62.6</v>
      </c>
      <c r="AC65" s="7">
        <v>25.53</v>
      </c>
      <c r="AD65" s="7">
        <v>11.87</v>
      </c>
      <c r="AE65" t="inlineStr">
        <is>
          <t>漲</t>
        </is>
      </c>
      <c r="AF65" t="inlineStr">
        <is>
          <t>相似時點 11 段（24 個月）之後 12 個月的中位報酬</t>
        </is>
      </c>
      <c r="AG65" s="7">
        <v>18.7</v>
      </c>
      <c r="AH65" s="7">
        <v>59.08</v>
      </c>
      <c r="AI65" s="7">
        <v>27.13</v>
      </c>
      <c r="AJ65" s="7">
        <v>13.79</v>
      </c>
      <c r="AK65" t="inlineStr">
        <is>
          <t>漲</t>
        </is>
      </c>
      <c r="AL65" t="inlineStr">
        <is>
          <t>10 年位階 100.0%（最高 20%），這一組歷史 3 段之後 12 個月的中位報酬</t>
        </is>
      </c>
      <c r="AM65" t="inlineStr">
        <is>
          <t>漲</t>
        </is>
      </c>
      <c r="AN65" s="8">
        <v>3</v>
      </c>
      <c r="AO65" s="8">
        <v>0</v>
      </c>
      <c r="AP65" s="8">
        <v>0</v>
      </c>
      <c r="AQ65" t="inlineStr">
        <is>
          <t>3／3 面同向</t>
        </is>
      </c>
      <c r="AR65" s="7">
        <v>61.48</v>
      </c>
      <c r="AS65" s="7">
        <v>26.04</v>
      </c>
      <c r="AT65" s="7">
        <v>12.49</v>
      </c>
      <c r="AU65" s="8">
        <v>3</v>
      </c>
      <c r="AV65" t="inlineStr">
        <is>
          <t>漲</t>
        </is>
      </c>
      <c r="AW65" s="7">
        <v>18.83</v>
      </c>
      <c r="AX65" t="inlineStr">
        <is>
          <t>未校準集成</t>
        </is>
      </c>
      <c r="AY65" s="7">
        <v>59.26</v>
      </c>
      <c r="AZ65" s="7">
        <v>27.05</v>
      </c>
      <c r="BA65" s="7">
        <v>13.69</v>
      </c>
      <c r="BB65" t="inlineStr">
        <is>
          <t>漲</t>
        </is>
      </c>
      <c r="BC65" s="7">
        <v>-23.48</v>
      </c>
      <c r="BD65" s="7">
        <v>45.88</v>
      </c>
      <c r="BE65" s="7">
        <v>11.42</v>
      </c>
      <c r="BF65" s="7">
        <v>28.81</v>
      </c>
      <c r="BG65" t="inlineStr">
        <is>
          <t>總經面 +21.41%（P漲 63%／P跌 12% → 漲）、產業鏈面「科技股下跌」機率 76%、平常 76%（無訊號）、歷史類比面 +21.30%（P漲 63%／P跌 12% → 漲）、位階面 +18.70%（P漲 59%／P跌 14% → 漲）；持平帶 ±12.19%（σ_h 28.35%×0.43），各面假設實際報酬是以預估值為中心、σ_h 為標準差的常態。投票 漲 3，綜合判斷漲（3／3 面同向）；綜合機率 P漲 61%／P跌 12%（3 面平均）→ 漲。幅度推演：預測報酬 +18.83%（P漲 59%／P跌 14% → 漲），80% 結果區間 -23.48～+45.88%。</t>
        </is>
      </c>
      <c r="BH65" t="inlineStr">
        <is>
          <t>未到期</t>
        </is>
      </c>
    </row>
    <row r="66">
      <c r="A66" t="inlineStr">
        <is>
          <t>SC-2026-09-eq_dji-H12</t>
        </is>
      </c>
      <c r="B66" t="inlineStr">
        <is>
          <t>SC-2026-09</t>
        </is>
      </c>
      <c r="C66" t="inlineStr">
        <is>
          <t>2026-10-12</t>
        </is>
      </c>
      <c r="D66" t="inlineStr">
        <is>
          <t>2026-09</t>
        </is>
      </c>
      <c r="E66" t="inlineStr">
        <is>
          <t>2026-09</t>
        </is>
      </c>
      <c r="F66" s="8">
        <v>12</v>
      </c>
      <c r="G66" t="inlineStr">
        <is>
          <t>2027-09</t>
        </is>
      </c>
      <c r="H66" t="inlineStr">
        <is>
          <t>道瓊工業</t>
        </is>
      </c>
      <c r="I66" t="inlineStr">
        <is>
          <t>eq_dji</t>
        </is>
      </c>
      <c r="J66" s="7">
        <v>7.8</v>
      </c>
      <c r="K66" s="7">
        <v>14.33</v>
      </c>
      <c r="L66" s="8">
        <v>369</v>
      </c>
      <c r="M66" s="7">
        <v>6.16</v>
      </c>
      <c r="N66" s="7">
        <v>12.22</v>
      </c>
      <c r="O66" s="7">
        <v>66.38</v>
      </c>
      <c r="P66" s="7">
        <v>23.64</v>
      </c>
      <c r="Q66" s="7">
        <v>9.98</v>
      </c>
      <c r="R66" t="inlineStr">
        <is>
          <t>漲</t>
        </is>
      </c>
      <c r="S66" t="inlineStr">
        <is>
          <t>未校準：平常 +7.80% ＋ 模型超額 +4.42%</t>
        </is>
      </c>
      <c r="U66" t="inlineStr">
        <is>
          <t>無訊號</t>
        </is>
      </c>
      <c r="AA66" s="7">
        <v>9.76</v>
      </c>
      <c r="AB66" s="7">
        <v>59.92</v>
      </c>
      <c r="AC66" s="7">
        <v>26.75</v>
      </c>
      <c r="AD66" s="7">
        <v>13.33</v>
      </c>
      <c r="AE66" t="inlineStr">
        <is>
          <t>漲</t>
        </is>
      </c>
      <c r="AF66" t="inlineStr">
        <is>
          <t>沒有確切標的資料：平常 +7.80% ＋ 相似時點中位超額 +1.96%</t>
        </is>
      </c>
      <c r="AK66" t="inlineStr">
        <is>
          <t>無訊號</t>
        </is>
      </c>
      <c r="AL66" t="inlineStr">
        <is>
          <t>沒有位階資料</t>
        </is>
      </c>
      <c r="AM66" t="inlineStr">
        <is>
          <t>漲</t>
        </is>
      </c>
      <c r="AN66" s="8">
        <v>2</v>
      </c>
      <c r="AO66" s="8">
        <v>0</v>
      </c>
      <c r="AP66" s="8">
        <v>0</v>
      </c>
      <c r="AQ66" t="inlineStr">
        <is>
          <t>2／2 面同向</t>
        </is>
      </c>
      <c r="AR66" s="7">
        <v>63.15</v>
      </c>
      <c r="AS66" s="7">
        <v>25.2</v>
      </c>
      <c r="AT66" s="7">
        <v>11.66</v>
      </c>
      <c r="AU66" s="8">
        <v>2</v>
      </c>
      <c r="AV66" t="inlineStr">
        <is>
          <t>漲</t>
        </is>
      </c>
      <c r="AW66" s="7">
        <v>10.99</v>
      </c>
      <c r="AX66" t="inlineStr">
        <is>
          <t>未校準集成</t>
        </is>
      </c>
      <c r="AY66" s="7">
        <v>63.2</v>
      </c>
      <c r="AZ66" s="7">
        <v>25.23</v>
      </c>
      <c r="BA66" s="7">
        <v>11.57</v>
      </c>
      <c r="BB66" t="inlineStr">
        <is>
          <t>漲</t>
        </is>
      </c>
      <c r="BC66" s="7">
        <v>-6.12</v>
      </c>
      <c r="BD66" s="7">
        <v>26.31</v>
      </c>
      <c r="BE66" s="7">
        <v>7.88</v>
      </c>
      <c r="BF66" s="7">
        <v>15.71</v>
      </c>
      <c r="BG66" t="inlineStr">
        <is>
          <t>總經面 +12.22%（P漲 66%／P跌 10% → 漲）、產業鏈面 無訊號、歷史類比面 +9.76%（P漲 60%／P跌 13% → 漲）、位階面 無訊號；持平帶 ±6.16%（σ_h 14.33%×0.43），各面假設實際報酬是以預估值為中心、σ_h 為標準差的常態。投票 漲 2，綜合判斷漲（2／2 面同向）；綜合機率 P漲 63%／P跌 12%（2 面平均）→ 漲。幅度推演：預測報酬 +10.99%（P漲 63%／P跌 12% → 漲），80% 結果區間 -6.12～+26.31%。</t>
        </is>
      </c>
      <c r="BH66" t="inlineStr">
        <is>
          <t>未到期</t>
        </is>
      </c>
    </row>
    <row r="67">
      <c r="A67" t="inlineStr">
        <is>
          <t>SC-2026-09-eq_sox-H12</t>
        </is>
      </c>
      <c r="B67" t="inlineStr">
        <is>
          <t>SC-2026-09</t>
        </is>
      </c>
      <c r="C67" t="inlineStr">
        <is>
          <t>2026-10-12</t>
        </is>
      </c>
      <c r="D67" t="inlineStr">
        <is>
          <t>2026-09</t>
        </is>
      </c>
      <c r="E67" t="inlineStr">
        <is>
          <t>2026-09</t>
        </is>
      </c>
      <c r="F67" s="8">
        <v>12</v>
      </c>
      <c r="G67" t="inlineStr">
        <is>
          <t>2027-09</t>
        </is>
      </c>
      <c r="H67" t="inlineStr">
        <is>
          <t>費城半導體</t>
        </is>
      </c>
      <c r="I67" t="inlineStr">
        <is>
          <t>eq_sox</t>
        </is>
      </c>
      <c r="J67" s="7">
        <v>12.32</v>
      </c>
      <c r="K67" s="7">
        <v>35.64</v>
      </c>
      <c r="L67" s="8">
        <v>369</v>
      </c>
      <c r="M67" s="7">
        <v>15.33</v>
      </c>
      <c r="N67" s="7">
        <v>27.41</v>
      </c>
      <c r="O67" s="7">
        <v>63.27</v>
      </c>
      <c r="P67" s="7">
        <v>25.21</v>
      </c>
      <c r="Q67" s="7">
        <v>11.52</v>
      </c>
      <c r="R67" t="inlineStr">
        <is>
          <t>漲</t>
        </is>
      </c>
      <c r="S67" t="inlineStr">
        <is>
          <t>未校準：平常 +12.32% ＋ 模型超額 +15.09%</t>
        </is>
      </c>
      <c r="T67" s="7">
        <v>0.0</v>
      </c>
      <c r="U67" t="inlineStr">
        <is>
          <t>無訊號</t>
        </is>
      </c>
      <c r="V67" t="inlineStr">
        <is>
          <t>景氣擴張</t>
        </is>
      </c>
      <c r="W67" t="inlineStr">
        <is>
          <t>半導體股大漲</t>
        </is>
      </c>
      <c r="X67" t="inlineStr">
        <is>
          <t>cycle_sox</t>
        </is>
      </c>
      <c r="Y67" s="7">
        <v>96.0</v>
      </c>
      <c r="Z67" s="7">
        <v>96.0</v>
      </c>
      <c r="AA67" s="7">
        <v>22.4</v>
      </c>
      <c r="AB67" s="7">
        <v>57.86</v>
      </c>
      <c r="AC67" s="7">
        <v>27.65</v>
      </c>
      <c r="AD67" s="7">
        <v>14.49</v>
      </c>
      <c r="AE67" t="inlineStr">
        <is>
          <t>漲</t>
        </is>
      </c>
      <c r="AF67" t="inlineStr">
        <is>
          <t>相似時點 11 段（24 個月）之後 12 個月的中位報酬</t>
        </is>
      </c>
      <c r="AG67" s="7">
        <v>23.8</v>
      </c>
      <c r="AH67" s="7">
        <v>59.39</v>
      </c>
      <c r="AI67" s="7">
        <v>27.0</v>
      </c>
      <c r="AJ67" s="7">
        <v>13.61</v>
      </c>
      <c r="AK67" t="inlineStr">
        <is>
          <t>漲</t>
        </is>
      </c>
      <c r="AL67" t="inlineStr">
        <is>
          <t>10 年位階 98.0%（最高 20%），這一組歷史 3 段之後 12 個月的中位報酬</t>
        </is>
      </c>
      <c r="AM67" t="inlineStr">
        <is>
          <t>漲</t>
        </is>
      </c>
      <c r="AN67" s="8">
        <v>3</v>
      </c>
      <c r="AO67" s="8">
        <v>0</v>
      </c>
      <c r="AP67" s="8">
        <v>0</v>
      </c>
      <c r="AQ67" t="inlineStr">
        <is>
          <t>3／3 面同向</t>
        </is>
      </c>
      <c r="AR67" s="7">
        <v>60.17</v>
      </c>
      <c r="AS67" s="7">
        <v>26.62</v>
      </c>
      <c r="AT67" s="7">
        <v>13.21</v>
      </c>
      <c r="AU67" s="8">
        <v>3</v>
      </c>
      <c r="AV67" t="inlineStr">
        <is>
          <t>漲</t>
        </is>
      </c>
      <c r="AW67" s="7">
        <v>23.8</v>
      </c>
      <c r="AX67" t="inlineStr">
        <is>
          <t>未校準集成</t>
        </is>
      </c>
      <c r="AY67" s="7">
        <v>59.39</v>
      </c>
      <c r="AZ67" s="7">
        <v>27.0</v>
      </c>
      <c r="BA67" s="7">
        <v>13.61</v>
      </c>
      <c r="BB67" t="inlineStr">
        <is>
          <t>漲</t>
        </is>
      </c>
      <c r="BC67" s="7">
        <v>-23.37</v>
      </c>
      <c r="BD67" s="7">
        <v>63.91</v>
      </c>
      <c r="BE67" s="7">
        <v>13.07</v>
      </c>
      <c r="BF67" s="7">
        <v>37.18</v>
      </c>
      <c r="BG67" t="inlineStr">
        <is>
          <t>總經面 +27.41%（P漲 63%／P跌 12% → 漲）、產業鏈面「半導體股大漲」機率 96%、平常 96%（無訊號）、歷史類比面 +22.40%（P漲 58%／P跌 14% → 漲）、位階面 +23.80%（P漲 59%／P跌 14% → 漲）；持平帶 ±15.33%（σ_h 35.64%×0.43），各面假設實際報酬是以預估值為中心、σ_h 為標準差的常態。投票 漲 3，綜合判斷漲（3／3 面同向）；綜合機率 P漲 60%／P跌 13%（3 面平均）→ 漲。幅度推演：預測報酬 +23.80%（P漲 59%／P跌 14% → 漲），80% 結果區間 -23.37～+63.91%。</t>
        </is>
      </c>
      <c r="BH67" t="inlineStr">
        <is>
          <t>未到期</t>
        </is>
      </c>
    </row>
    <row r="68">
      <c r="A68" t="inlineStr">
        <is>
          <t>SC-2026-09-eq_hsi-H12</t>
        </is>
      </c>
      <c r="B68" t="inlineStr">
        <is>
          <t>SC-2026-09</t>
        </is>
      </c>
      <c r="C68" t="inlineStr">
        <is>
          <t>2026-10-12</t>
        </is>
      </c>
      <c r="D68" t="inlineStr">
        <is>
          <t>2026-09</t>
        </is>
      </c>
      <c r="E68" t="inlineStr">
        <is>
          <t>2026-09</t>
        </is>
      </c>
      <c r="F68" s="8">
        <v>12</v>
      </c>
      <c r="G68" t="inlineStr">
        <is>
          <t>2027-09</t>
        </is>
      </c>
      <c r="H68" t="inlineStr">
        <is>
          <t>恆生指數</t>
        </is>
      </c>
      <c r="I68" t="inlineStr">
        <is>
          <t>eq_hsi</t>
        </is>
      </c>
      <c r="J68" s="7">
        <v>3.36</v>
      </c>
      <c r="K68" s="7">
        <v>23.76</v>
      </c>
      <c r="L68" s="8">
        <v>369</v>
      </c>
      <c r="M68" s="7">
        <v>10.22</v>
      </c>
      <c r="N68" s="7">
        <v>11.04</v>
      </c>
      <c r="O68" s="7">
        <v>51.38</v>
      </c>
      <c r="P68" s="7">
        <v>30.07</v>
      </c>
      <c r="Q68" s="7">
        <v>18.55</v>
      </c>
      <c r="R68" t="inlineStr">
        <is>
          <t>漲</t>
        </is>
      </c>
      <c r="S68" t="inlineStr">
        <is>
          <t>未校準：平常 +3.36% ＋ 模型超額 +7.68%</t>
        </is>
      </c>
      <c r="U68" t="inlineStr">
        <is>
          <t>無訊號</t>
        </is>
      </c>
      <c r="AA68" s="7">
        <v>14.2</v>
      </c>
      <c r="AB68" s="7">
        <v>56.65</v>
      </c>
      <c r="AC68" s="7">
        <v>28.15</v>
      </c>
      <c r="AD68" s="7">
        <v>15.2</v>
      </c>
      <c r="AE68" t="inlineStr">
        <is>
          <t>漲</t>
        </is>
      </c>
      <c r="AF68" t="inlineStr">
        <is>
          <t>相似時點 11 段（24 個月）之後 12 個月的中位報酬</t>
        </is>
      </c>
      <c r="AG68" s="7">
        <v>7.8</v>
      </c>
      <c r="AH68" s="7">
        <v>45.94</v>
      </c>
      <c r="AI68" s="7">
        <v>31.65</v>
      </c>
      <c r="AJ68" s="7">
        <v>22.41</v>
      </c>
      <c r="AK68" t="inlineStr">
        <is>
          <t>漲</t>
        </is>
      </c>
      <c r="AL68" t="inlineStr">
        <is>
          <t>10 年位階 49.0%（40～60%），這一組歷史 16 段之後 12 個月的中位報酬</t>
        </is>
      </c>
      <c r="AM68" t="inlineStr">
        <is>
          <t>漲</t>
        </is>
      </c>
      <c r="AN68" s="8">
        <v>3</v>
      </c>
      <c r="AO68" s="8">
        <v>0</v>
      </c>
      <c r="AP68" s="8">
        <v>0</v>
      </c>
      <c r="AQ68" t="inlineStr">
        <is>
          <t>3／3 面同向</t>
        </is>
      </c>
      <c r="AR68" s="7">
        <v>51.32</v>
      </c>
      <c r="AS68" s="7">
        <v>29.96</v>
      </c>
      <c r="AT68" s="7">
        <v>18.72</v>
      </c>
      <c r="AU68" s="8">
        <v>3</v>
      </c>
      <c r="AV68" t="inlineStr">
        <is>
          <t>漲</t>
        </is>
      </c>
      <c r="AW68" s="7">
        <v>11.28</v>
      </c>
      <c r="AX68" t="inlineStr">
        <is>
          <t>未校準集成</t>
        </is>
      </c>
      <c r="AY68" s="7">
        <v>51.78</v>
      </c>
      <c r="AZ68" s="7">
        <v>29.94</v>
      </c>
      <c r="BA68" s="7">
        <v>18.28</v>
      </c>
      <c r="BB68" t="inlineStr">
        <is>
          <t>漲</t>
        </is>
      </c>
      <c r="BC68" s="7">
        <v>-16.61</v>
      </c>
      <c r="BD68" s="7">
        <v>38.58</v>
      </c>
      <c r="BE68" s="7">
        <v>2.13</v>
      </c>
      <c r="BF68" s="7">
        <v>17.51</v>
      </c>
      <c r="BG68" t="inlineStr">
        <is>
          <t>總經面 +11.04%（P漲 51%／P跌 19% → 漲）、產業鏈面 無訊號、歷史類比面 +14.20%（P漲 57%／P跌 15% → 漲）、位階面 +7.80%（P漲 46%／P跌 22% → 漲）；持平帶 ±10.22%（σ_h 23.76%×0.43），各面假設實際報酬是以預估值為中心、σ_h 為標準差的常態。投票 漲 3，綜合判斷漲（3／3 面同向）；綜合機率 P漲 51%／P跌 19%（3 面平均）→ 漲。幅度推演：預測報酬 +11.28%（P漲 52%／P跌 18% → 漲），80% 結果區間 -16.61～+38.58%。</t>
        </is>
      </c>
      <c r="BH68" t="inlineStr">
        <is>
          <t>未到期</t>
        </is>
      </c>
    </row>
    <row r="69">
      <c r="A69" t="inlineStr">
        <is>
          <t>SC-2026-09-eq_twii-H12</t>
        </is>
      </c>
      <c r="B69" t="inlineStr">
        <is>
          <t>SC-2026-09</t>
        </is>
      </c>
      <c r="C69" t="inlineStr">
        <is>
          <t>2026-10-12</t>
        </is>
      </c>
      <c r="D69" t="inlineStr">
        <is>
          <t>2026-09</t>
        </is>
      </c>
      <c r="E69" t="inlineStr">
        <is>
          <t>2026-09</t>
        </is>
      </c>
      <c r="F69" s="8">
        <v>12</v>
      </c>
      <c r="G69" t="inlineStr">
        <is>
          <t>2027-09</t>
        </is>
      </c>
      <c r="H69" t="inlineStr">
        <is>
          <t>台灣加權指數</t>
        </is>
      </c>
      <c r="I69" t="inlineStr">
        <is>
          <t>eq_twii</t>
        </is>
      </c>
      <c r="J69" s="7">
        <v>5.99</v>
      </c>
      <c r="K69" s="7">
        <v>23.91</v>
      </c>
      <c r="L69" s="8">
        <v>369</v>
      </c>
      <c r="M69" s="7">
        <v>10.28</v>
      </c>
      <c r="N69" s="7">
        <v>10.91</v>
      </c>
      <c r="O69" s="7">
        <v>51.05</v>
      </c>
      <c r="P69" s="7">
        <v>30.18</v>
      </c>
      <c r="Q69" s="7">
        <v>18.77</v>
      </c>
      <c r="R69" t="inlineStr">
        <is>
          <t>漲</t>
        </is>
      </c>
      <c r="S69" t="inlineStr">
        <is>
          <t>未校準：平常 +5.99% ＋ 模型超額 +4.92%</t>
        </is>
      </c>
      <c r="T69" s="7">
        <v>-2.0</v>
      </c>
      <c r="U69" t="inlineStr">
        <is>
          <t>無訊號</t>
        </is>
      </c>
      <c r="V69" t="inlineStr">
        <is>
          <t>日圓套利平倉</t>
        </is>
      </c>
      <c r="W69" t="inlineStr">
        <is>
          <t>台股下跌</t>
        </is>
      </c>
      <c r="X69" t="inlineStr">
        <is>
          <t>carry_twii</t>
        </is>
      </c>
      <c r="Y69" s="7">
        <v>67.0</v>
      </c>
      <c r="Z69" s="7">
        <v>69.0</v>
      </c>
      <c r="AA69" s="7">
        <v>12.1</v>
      </c>
      <c r="AB69" s="7">
        <v>53.03</v>
      </c>
      <c r="AC69" s="7">
        <v>29.51</v>
      </c>
      <c r="AD69" s="7">
        <v>17.46</v>
      </c>
      <c r="AE69" t="inlineStr">
        <is>
          <t>漲</t>
        </is>
      </c>
      <c r="AF69" t="inlineStr">
        <is>
          <t>相似時點 11 段（24 個月）之後 12 個月的中位報酬</t>
        </is>
      </c>
      <c r="AG69" s="7">
        <v>6.5</v>
      </c>
      <c r="AH69" s="7">
        <v>43.72</v>
      </c>
      <c r="AI69" s="7">
        <v>32.14</v>
      </c>
      <c r="AJ69" s="7">
        <v>24.14</v>
      </c>
      <c r="AK69" t="inlineStr">
        <is>
          <t>漲</t>
        </is>
      </c>
      <c r="AL69" t="inlineStr">
        <is>
          <t>10 年位階 100.0%（最高 20%），這一組歷史 8 段之後 12 個月的中位報酬</t>
        </is>
      </c>
      <c r="AM69" t="inlineStr">
        <is>
          <t>漲</t>
        </is>
      </c>
      <c r="AN69" s="8">
        <v>3</v>
      </c>
      <c r="AO69" s="8">
        <v>0</v>
      </c>
      <c r="AP69" s="8">
        <v>0</v>
      </c>
      <c r="AQ69" t="inlineStr">
        <is>
          <t>3／3 面同向</t>
        </is>
      </c>
      <c r="AR69" s="7">
        <v>49.27</v>
      </c>
      <c r="AS69" s="7">
        <v>30.61</v>
      </c>
      <c r="AT69" s="7">
        <v>20.12</v>
      </c>
      <c r="AU69" s="8">
        <v>3</v>
      </c>
      <c r="AV69" t="inlineStr">
        <is>
          <t>漲</t>
        </is>
      </c>
      <c r="AW69" s="7">
        <v>10.07</v>
      </c>
      <c r="AX69" t="inlineStr">
        <is>
          <t>未校準集成</t>
        </is>
      </c>
      <c r="AY69" s="7">
        <v>49.65</v>
      </c>
      <c r="AZ69" s="7">
        <v>30.61</v>
      </c>
      <c r="BA69" s="7">
        <v>19.74</v>
      </c>
      <c r="BB69" t="inlineStr">
        <is>
          <t>漲</t>
        </is>
      </c>
      <c r="BC69" s="7">
        <v>-20.17</v>
      </c>
      <c r="BD69" s="7">
        <v>35.91</v>
      </c>
      <c r="BE69" s="7">
        <v>3.89</v>
      </c>
      <c r="BF69" s="7">
        <v>17.12</v>
      </c>
      <c r="BG69" t="inlineStr">
        <is>
          <t>總經面 +10.91%（P漲 51%／P跌 19% → 漲）、產業鏈面「台股下跌」機率 67%、平常 69%（無訊號）、歷史類比面 +12.10%（P漲 53%／P跌 17% → 漲）、位階面 +6.50%（P漲 44%／P跌 24% → 漲）；持平帶 ±10.28%（σ_h 23.91%×0.43），各面假設實際報酬是以預估值為中心、σ_h 為標準差的常態。投票 漲 3，綜合判斷漲（3／3 面同向）；綜合機率 P漲 49%／P跌 20%（3 面平均）→ 漲。幅度推演：預測報酬 +10.07%（P漲 50%／P跌 20% → 漲），80% 結果區間 -20.17～+35.91%。</t>
        </is>
      </c>
      <c r="BH69" t="inlineStr">
        <is>
          <t>未到期</t>
        </is>
      </c>
    </row>
    <row r="70">
      <c r="A70" t="inlineStr">
        <is>
          <t>SC-2026-09-eq_n225-H12</t>
        </is>
      </c>
      <c r="B70" t="inlineStr">
        <is>
          <t>SC-2026-09</t>
        </is>
      </c>
      <c r="C70" t="inlineStr">
        <is>
          <t>2026-10-12</t>
        </is>
      </c>
      <c r="D70" t="inlineStr">
        <is>
          <t>2026-09</t>
        </is>
      </c>
      <c r="E70" t="inlineStr">
        <is>
          <t>2026-09</t>
        </is>
      </c>
      <c r="F70" s="8">
        <v>12</v>
      </c>
      <c r="G70" t="inlineStr">
        <is>
          <t>2027-09</t>
        </is>
      </c>
      <c r="H70" t="inlineStr">
        <is>
          <t>日經 225（參考）</t>
        </is>
      </c>
      <c r="I70" t="inlineStr">
        <is>
          <t>eq_n225</t>
        </is>
      </c>
      <c r="J70" s="7">
        <v>3.98</v>
      </c>
      <c r="K70" s="7">
        <v>22.09</v>
      </c>
      <c r="L70" s="8">
        <v>369</v>
      </c>
      <c r="M70" s="7">
        <v>9.5</v>
      </c>
      <c r="N70" s="7">
        <v>6.38</v>
      </c>
      <c r="O70" s="7">
        <v>44.38</v>
      </c>
      <c r="P70" s="7">
        <v>32.01</v>
      </c>
      <c r="Q70" s="7">
        <v>23.61</v>
      </c>
      <c r="R70" t="inlineStr">
        <is>
          <t>漲</t>
        </is>
      </c>
      <c r="S70" t="inlineStr">
        <is>
          <t>未校準：平常 +3.98% ＋ 模型超額 +2.40%</t>
        </is>
      </c>
      <c r="U70" t="inlineStr">
        <is>
          <t>無訊號</t>
        </is>
      </c>
      <c r="AA70" s="7">
        <v>7.3</v>
      </c>
      <c r="AB70" s="7">
        <v>46.03</v>
      </c>
      <c r="AC70" s="7">
        <v>31.62</v>
      </c>
      <c r="AD70" s="7">
        <v>22.35</v>
      </c>
      <c r="AE70" t="inlineStr">
        <is>
          <t>漲</t>
        </is>
      </c>
      <c r="AF70" t="inlineStr">
        <is>
          <t>相似時點 11 段（24 個月）之後 12 個月的中位報酬</t>
        </is>
      </c>
      <c r="AG70" s="7">
        <v>7.0</v>
      </c>
      <c r="AH70" s="7">
        <v>45.49</v>
      </c>
      <c r="AI70" s="7">
        <v>31.76</v>
      </c>
      <c r="AJ70" s="7">
        <v>22.75</v>
      </c>
      <c r="AK70" t="inlineStr">
        <is>
          <t>漲</t>
        </is>
      </c>
      <c r="AL70" t="inlineStr">
        <is>
          <t>10 年位階 99.0%（最高 20%），這一組歷史 7 段之後 12 個月的中位報酬</t>
        </is>
      </c>
      <c r="AM70" t="inlineStr">
        <is>
          <t>漲</t>
        </is>
      </c>
      <c r="AN70" s="8">
        <v>3</v>
      </c>
      <c r="AO70" s="8">
        <v>0</v>
      </c>
      <c r="AP70" s="8">
        <v>0</v>
      </c>
      <c r="AQ70" t="inlineStr">
        <is>
          <t>3／3 面同向</t>
        </is>
      </c>
      <c r="AR70" s="7">
        <v>45.3</v>
      </c>
      <c r="AS70" s="7">
        <v>31.8</v>
      </c>
      <c r="AT70" s="7">
        <v>22.9</v>
      </c>
      <c r="AU70" s="8">
        <v>3</v>
      </c>
      <c r="AV70" t="inlineStr">
        <is>
          <t>漲</t>
        </is>
      </c>
      <c r="AW70" s="7">
        <v>6.45</v>
      </c>
      <c r="AX70" t="inlineStr">
        <is>
          <t>未校準集成</t>
        </is>
      </c>
      <c r="AY70" s="7">
        <v>44.51</v>
      </c>
      <c r="AZ70" s="7">
        <v>31.98</v>
      </c>
      <c r="BA70" s="7">
        <v>23.51</v>
      </c>
      <c r="BB70" t="inlineStr">
        <is>
          <t>漲</t>
        </is>
      </c>
      <c r="BC70" s="7">
        <v>-21.5</v>
      </c>
      <c r="BD70" s="7">
        <v>33.55</v>
      </c>
      <c r="BE70" s="7">
        <v>-1.51</v>
      </c>
      <c r="BF70" s="7">
        <v>12.85</v>
      </c>
      <c r="BG70" t="inlineStr">
        <is>
          <t>總經面 +6.38%（P漲 44%／P跌 24% → 漲）、產業鏈面 無訊號、歷史類比面 +7.30%（P漲 46%／P跌 22% → 漲）、位階面 +7.00%（P漲 45%／P跌 23% → 漲）；持平帶 ±9.50%（σ_h 22.09%×0.43），各面假設實際報酬是以預估值為中心、σ_h 為標準差的常態。投票 漲 3，綜合判斷漲（3／3 面同向）；綜合機率 P漲 45%／P跌 23%（3 面平均）→ 漲。幅度推演：預測報酬 +6.45%（P漲 45%／P跌 24% → 漲），80% 結果區間 -21.50～+33.55%。</t>
        </is>
      </c>
      <c r="BH70" t="inlineStr">
        <is>
          <t>未到期</t>
        </is>
      </c>
    </row>
    <row r="71">
      <c r="A71" t="inlineStr">
        <is>
          <t>SC-2026-09-eq_sse-H12</t>
        </is>
      </c>
      <c r="B71" t="inlineStr">
        <is>
          <t>SC-2026-09</t>
        </is>
      </c>
      <c r="C71" t="inlineStr">
        <is>
          <t>2026-10-12</t>
        </is>
      </c>
      <c r="D71" t="inlineStr">
        <is>
          <t>2026-09</t>
        </is>
      </c>
      <c r="E71" t="inlineStr">
        <is>
          <t>2026-09</t>
        </is>
      </c>
      <c r="F71" s="8">
        <v>12</v>
      </c>
      <c r="G71" t="inlineStr">
        <is>
          <t>2027-09</t>
        </is>
      </c>
      <c r="H71" t="inlineStr">
        <is>
          <t>上證指數（參考）</t>
        </is>
      </c>
      <c r="I71" t="inlineStr">
        <is>
          <t>eq_sse</t>
        </is>
      </c>
      <c r="J71" s="7">
        <v>4.17</v>
      </c>
      <c r="K71" s="7">
        <v>30.8</v>
      </c>
      <c r="L71" s="8">
        <v>339</v>
      </c>
      <c r="M71" s="7">
        <v>13.24</v>
      </c>
      <c r="N71" s="7">
        <v>15.42</v>
      </c>
      <c r="O71" s="7">
        <v>52.82</v>
      </c>
      <c r="P71" s="7">
        <v>29.57</v>
      </c>
      <c r="Q71" s="7">
        <v>17.61</v>
      </c>
      <c r="R71" t="inlineStr">
        <is>
          <t>漲</t>
        </is>
      </c>
      <c r="S71" t="inlineStr">
        <is>
          <t>未校準：平常 +4.17% ＋ 模型超額 +11.25%</t>
        </is>
      </c>
      <c r="U71" t="inlineStr">
        <is>
          <t>無訊號</t>
        </is>
      </c>
      <c r="AA71" s="7">
        <v>14.5</v>
      </c>
      <c r="AB71" s="7">
        <v>51.63</v>
      </c>
      <c r="AC71" s="7">
        <v>29.98</v>
      </c>
      <c r="AD71" s="7">
        <v>18.39</v>
      </c>
      <c r="AE71" t="inlineStr">
        <is>
          <t>漲</t>
        </is>
      </c>
      <c r="AF71" t="inlineStr">
        <is>
          <t>沒有確切標的資料：平常 +4.17% ＋ 相似時點中位超額 +10.33%</t>
        </is>
      </c>
      <c r="AK71" t="inlineStr">
        <is>
          <t>無訊號</t>
        </is>
      </c>
      <c r="AL71" t="inlineStr">
        <is>
          <t>沒有位階資料</t>
        </is>
      </c>
      <c r="AM71" t="inlineStr">
        <is>
          <t>漲</t>
        </is>
      </c>
      <c r="AN71" s="8">
        <v>2</v>
      </c>
      <c r="AO71" s="8">
        <v>0</v>
      </c>
      <c r="AP71" s="8">
        <v>0</v>
      </c>
      <c r="AQ71" t="inlineStr">
        <is>
          <t>2／2 面同向</t>
        </is>
      </c>
      <c r="AR71" s="7">
        <v>52.23</v>
      </c>
      <c r="AS71" s="7">
        <v>29.77</v>
      </c>
      <c r="AT71" s="7">
        <v>18.0</v>
      </c>
      <c r="AU71" s="8">
        <v>2</v>
      </c>
      <c r="AV71" t="inlineStr">
        <is>
          <t>漲</t>
        </is>
      </c>
      <c r="AW71" s="7">
        <v>14.96</v>
      </c>
      <c r="AX71" t="inlineStr">
        <is>
          <t>未校準集成</t>
        </is>
      </c>
      <c r="AY71" s="7">
        <v>52.23</v>
      </c>
      <c r="AZ71" s="7">
        <v>29.78</v>
      </c>
      <c r="BA71" s="7">
        <v>17.99</v>
      </c>
      <c r="BB71" t="inlineStr">
        <is>
          <t>漲</t>
        </is>
      </c>
      <c r="BC71" s="7">
        <v>-13.69</v>
      </c>
      <c r="BD71" s="7">
        <v>52.05</v>
      </c>
      <c r="BE71" s="7">
        <v>2.96</v>
      </c>
      <c r="BF71" s="7">
        <v>24.06</v>
      </c>
      <c r="BG71" t="inlineStr">
        <is>
          <t>總經面 +15.42%（P漲 53%／P跌 18% → 漲）、產業鏈面 無訊號、歷史類比面 +14.50%（P漲 52%／P跌 18% → 漲）、位階面 無訊號；持平帶 ±13.24%（σ_h 30.80%×0.43），各面假設實際報酬是以預估值為中心、σ_h 為標準差的常態。投票 漲 2，綜合判斷漲（2／2 面同向）；綜合機率 P漲 52%／P跌 18%（2 面平均）→ 漲。幅度推演：預測報酬 +14.96%（P漲 52%／P跌 18% → 漲），80% 結果區間 -13.69～+52.05%。</t>
        </is>
      </c>
      <c r="BH71" t="inlineStr">
        <is>
          <t>未到期</t>
        </is>
      </c>
    </row>
    <row r="72">
      <c r="A72" t="inlineStr">
        <is>
          <t>SC-2026-09-b_ust_long-H12</t>
        </is>
      </c>
      <c r="B72" t="inlineStr">
        <is>
          <t>SC-2026-09</t>
        </is>
      </c>
      <c r="C72" t="inlineStr">
        <is>
          <t>2026-10-12</t>
        </is>
      </c>
      <c r="D72" t="inlineStr">
        <is>
          <t>2026-09</t>
        </is>
      </c>
      <c r="E72" t="inlineStr">
        <is>
          <t>2026-09</t>
        </is>
      </c>
      <c r="F72" s="8">
        <v>12</v>
      </c>
      <c r="G72" t="inlineStr">
        <is>
          <t>2027-09</t>
        </is>
      </c>
      <c r="H72" t="inlineStr">
        <is>
          <t>美國長天期公債基金 VUSTX</t>
        </is>
      </c>
      <c r="I72" t="inlineStr">
        <is>
          <t>b_ust_long</t>
        </is>
      </c>
      <c r="J72" s="7">
        <v>4.65</v>
      </c>
      <c r="K72" s="7">
        <v>10.7</v>
      </c>
      <c r="L72" s="8">
        <v>369</v>
      </c>
      <c r="M72" s="7">
        <v>4.6</v>
      </c>
      <c r="N72" s="7">
        <v>-0.64</v>
      </c>
      <c r="O72" s="7">
        <v>31.22</v>
      </c>
      <c r="P72" s="7">
        <v>33.21</v>
      </c>
      <c r="Q72" s="7">
        <v>35.57</v>
      </c>
      <c r="R72" t="inlineStr">
        <is>
          <t>持平</t>
        </is>
      </c>
      <c r="S72" t="inlineStr">
        <is>
          <t>未校準：平常 +4.65% ＋ 模型超額 -5.29%</t>
        </is>
      </c>
      <c r="U72" t="inlineStr">
        <is>
          <t>無訊號</t>
        </is>
      </c>
      <c r="AA72" s="7">
        <v>7.7</v>
      </c>
      <c r="AB72" s="7">
        <v>61.4</v>
      </c>
      <c r="AC72" s="7">
        <v>26.08</v>
      </c>
      <c r="AD72" s="7">
        <v>12.52</v>
      </c>
      <c r="AE72" t="inlineStr">
        <is>
          <t>漲</t>
        </is>
      </c>
      <c r="AF72" t="inlineStr">
        <is>
          <t>相似時點 11 段（24 個月）之後 12 個月的中位報酬</t>
        </is>
      </c>
      <c r="AK72" t="inlineStr">
        <is>
          <t>無訊號</t>
        </is>
      </c>
      <c r="AL72" t="inlineStr">
        <is>
          <t>10 年位階 3.0%（最低 20%）這一組只有 2 段（少於 3 段）</t>
        </is>
      </c>
      <c r="AM72" t="inlineStr">
        <is>
          <t>持平</t>
        </is>
      </c>
      <c r="AN72" s="8">
        <v>1</v>
      </c>
      <c r="AO72" s="8">
        <v>1</v>
      </c>
      <c r="AP72" s="8">
        <v>0</v>
      </c>
      <c r="AQ72" t="inlineStr">
        <is>
          <t>平手（漲 1、持平 1）</t>
        </is>
      </c>
      <c r="AR72" s="7">
        <v>46.31</v>
      </c>
      <c r="AS72" s="7">
        <v>29.64</v>
      </c>
      <c r="AT72" s="7">
        <v>24.05</v>
      </c>
      <c r="AU72" s="8">
        <v>2</v>
      </c>
      <c r="AV72" t="inlineStr">
        <is>
          <t>漲</t>
        </is>
      </c>
      <c r="AW72" s="7">
        <v>3.16</v>
      </c>
      <c r="AX72" t="inlineStr">
        <is>
          <t>未校準集成</t>
        </is>
      </c>
      <c r="AY72" s="7">
        <v>44.65</v>
      </c>
      <c r="AZ72" s="7">
        <v>31.93</v>
      </c>
      <c r="BA72" s="7">
        <v>23.42</v>
      </c>
      <c r="BB72" t="inlineStr">
        <is>
          <t>漲</t>
        </is>
      </c>
      <c r="BC72" s="7">
        <v>-9.41</v>
      </c>
      <c r="BD72" s="7">
        <v>15.47</v>
      </c>
      <c r="BE72" s="7">
        <v>-4.11</v>
      </c>
      <c r="BF72" s="7">
        <v>5.67</v>
      </c>
      <c r="BG72" t="inlineStr">
        <is>
          <t>總經面 -0.64%（P漲 31%／P跌 36% → 持平）、產業鏈面 無訊號、歷史類比面 +7.70%（P漲 61%／P跌 13% → 漲）、位階面 無訊號；持平帶 ±4.60%（σ_h 10.70%×0.43），各面假設實際報酬是以預估值為中心、σ_h 為標準差的常態。投票 漲 1、持平 1 平手，綜合記為持平；綜合機率 P漲 46%／P跌 24%（2 面平均）→ 漲。幅度推演：預測報酬 +3.16%（P漲 45%／P跌 23% → 漲），80% 結果區間 -9.41～+15.47%。</t>
        </is>
      </c>
      <c r="BH72" t="inlineStr">
        <is>
          <t>未到期</t>
        </is>
      </c>
    </row>
    <row r="73">
      <c r="A73" t="inlineStr">
        <is>
          <t>SC-2026-09-b_ig-H12</t>
        </is>
      </c>
      <c r="B73" t="inlineStr">
        <is>
          <t>SC-2026-09</t>
        </is>
      </c>
      <c r="C73" t="inlineStr">
        <is>
          <t>2026-10-12</t>
        </is>
      </c>
      <c r="D73" t="inlineStr">
        <is>
          <t>2026-09</t>
        </is>
      </c>
      <c r="E73" t="inlineStr">
        <is>
          <t>2026-09</t>
        </is>
      </c>
      <c r="F73" s="8">
        <v>12</v>
      </c>
      <c r="G73" t="inlineStr">
        <is>
          <t>2027-09</t>
        </is>
      </c>
      <c r="H73" t="inlineStr">
        <is>
          <t>投資級公司債基金 VWESX</t>
        </is>
      </c>
      <c r="I73" t="inlineStr">
        <is>
          <t>b_ig</t>
        </is>
      </c>
      <c r="J73" s="7">
        <v>5.49</v>
      </c>
      <c r="K73" s="7">
        <v>9.06</v>
      </c>
      <c r="L73" s="8">
        <v>369</v>
      </c>
      <c r="M73" s="7">
        <v>3.9</v>
      </c>
      <c r="N73" s="7">
        <v>1.18</v>
      </c>
      <c r="O73" s="7">
        <v>38.2</v>
      </c>
      <c r="P73" s="7">
        <v>33.05</v>
      </c>
      <c r="Q73" s="7">
        <v>28.75</v>
      </c>
      <c r="R73" t="inlineStr">
        <is>
          <t>持平</t>
        </is>
      </c>
      <c r="S73" t="inlineStr">
        <is>
          <t>未校準：平常 +5.49% ＋ 模型超額 -4.31%</t>
        </is>
      </c>
      <c r="U73" t="inlineStr">
        <is>
          <t>無訊號</t>
        </is>
      </c>
      <c r="AA73" s="7">
        <v>8.0</v>
      </c>
      <c r="AB73" s="7">
        <v>67.46</v>
      </c>
      <c r="AC73" s="7">
        <v>23.09</v>
      </c>
      <c r="AD73" s="7">
        <v>9.45</v>
      </c>
      <c r="AE73" t="inlineStr">
        <is>
          <t>漲</t>
        </is>
      </c>
      <c r="AF73" t="inlineStr">
        <is>
          <t>相似時點 11 段（24 個月）之後 12 個月的中位報酬</t>
        </is>
      </c>
      <c r="AG73" s="7">
        <v>7.0</v>
      </c>
      <c r="AH73" s="7">
        <v>63.39</v>
      </c>
      <c r="AI73" s="7">
        <v>25.16</v>
      </c>
      <c r="AJ73" s="7">
        <v>11.45</v>
      </c>
      <c r="AK73" t="inlineStr">
        <is>
          <t>漲</t>
        </is>
      </c>
      <c r="AL73" t="inlineStr">
        <is>
          <t>10 年位階 41.0%（40～60%），這一組歷史 6 段之後 12 個月的中位報酬</t>
        </is>
      </c>
      <c r="AM73" t="inlineStr">
        <is>
          <t>漲</t>
        </is>
      </c>
      <c r="AN73" s="8">
        <v>2</v>
      </c>
      <c r="AO73" s="8">
        <v>1</v>
      </c>
      <c r="AP73" s="8">
        <v>0</v>
      </c>
      <c r="AQ73" t="inlineStr">
        <is>
          <t>2／3 面同向</t>
        </is>
      </c>
      <c r="AR73" s="7">
        <v>56.35</v>
      </c>
      <c r="AS73" s="7">
        <v>27.1</v>
      </c>
      <c r="AT73" s="7">
        <v>16.55</v>
      </c>
      <c r="AU73" s="8">
        <v>3</v>
      </c>
      <c r="AV73" t="inlineStr">
        <is>
          <t>漲</t>
        </is>
      </c>
      <c r="AW73" s="7">
        <v>4.45</v>
      </c>
      <c r="AX73" t="inlineStr">
        <is>
          <t>未校準集成</t>
        </is>
      </c>
      <c r="AY73" s="7">
        <v>52.42</v>
      </c>
      <c r="AZ73" s="7">
        <v>29.74</v>
      </c>
      <c r="BA73" s="7">
        <v>17.84</v>
      </c>
      <c r="BB73" t="inlineStr">
        <is>
          <t>漲</t>
        </is>
      </c>
      <c r="BC73" s="7">
        <v>-5.86</v>
      </c>
      <c r="BD73" s="7">
        <v>15.13</v>
      </c>
      <c r="BE73" s="7">
        <v>-1.96</v>
      </c>
      <c r="BF73" s="7">
        <v>5.54</v>
      </c>
      <c r="BG73" t="inlineStr">
        <is>
          <t>總經面 +1.18%（P漲 38%／P跌 29% → 持平）、產業鏈面 無訊號、歷史類比面 +8.00%（P漲 67%／P跌 9% → 漲）、位階面 +7.00%（P漲 63%／P跌 11% → 漲）；持平帶 ±3.90%（σ_h 9.06%×0.43），各面假設實際報酬是以預估值為中心、σ_h 為標準差的常態。投票 漲 2、持平 1，綜合判斷漲（2／3 面同向）；綜合機率 P漲 56%／P跌 17%（3 面平均）→ 漲。幅度推演：預測報酬 +4.45%（P漲 52%／P跌 18% → 漲），80% 結果區間 -5.86～+15.13%。</t>
        </is>
      </c>
      <c r="BH73" t="inlineStr">
        <is>
          <t>未到期</t>
        </is>
      </c>
    </row>
    <row r="74">
      <c r="A74" t="inlineStr">
        <is>
          <t>SC-2026-09-b_hy-H12</t>
        </is>
      </c>
      <c r="B74" t="inlineStr">
        <is>
          <t>SC-2026-09</t>
        </is>
      </c>
      <c r="C74" t="inlineStr">
        <is>
          <t>2026-10-12</t>
        </is>
      </c>
      <c r="D74" t="inlineStr">
        <is>
          <t>2026-09</t>
        </is>
      </c>
      <c r="E74" t="inlineStr">
        <is>
          <t>2026-09</t>
        </is>
      </c>
      <c r="F74" s="8">
        <v>12</v>
      </c>
      <c r="G74" t="inlineStr">
        <is>
          <t>2027-09</t>
        </is>
      </c>
      <c r="H74" t="inlineStr">
        <is>
          <t>高收益公司債基金 VWEHX</t>
        </is>
      </c>
      <c r="I74" t="inlineStr">
        <is>
          <t>b_hy</t>
        </is>
      </c>
      <c r="J74" s="7">
        <v>5.8</v>
      </c>
      <c r="K74" s="7">
        <v>7.44</v>
      </c>
      <c r="L74" s="8">
        <v>369</v>
      </c>
      <c r="M74" s="7">
        <v>3.2</v>
      </c>
      <c r="N74" s="7">
        <v>4.91</v>
      </c>
      <c r="O74" s="7">
        <v>59.09</v>
      </c>
      <c r="P74" s="7">
        <v>27.13</v>
      </c>
      <c r="Q74" s="7">
        <v>13.78</v>
      </c>
      <c r="R74" t="inlineStr">
        <is>
          <t>漲</t>
        </is>
      </c>
      <c r="S74" t="inlineStr">
        <is>
          <t>未校準：平常 +5.80% ＋ 模型超額 -0.89%</t>
        </is>
      </c>
      <c r="T74" s="7">
        <v>1.0</v>
      </c>
      <c r="U74" t="inlineStr">
        <is>
          <t>無訊號</t>
        </is>
      </c>
      <c r="V74" t="inlineStr">
        <is>
          <t>景氣擴張</t>
        </is>
      </c>
      <c r="W74" t="inlineStr">
        <is>
          <t>高收益債上漲（市場敢冒險）</t>
        </is>
      </c>
      <c r="X74" t="inlineStr">
        <is>
          <t>cycle_hy</t>
        </is>
      </c>
      <c r="Y74" s="7">
        <v>97.0</v>
      </c>
      <c r="Z74" s="7">
        <v>96.0</v>
      </c>
      <c r="AA74" s="7">
        <v>6.8</v>
      </c>
      <c r="AB74" s="7">
        <v>68.58</v>
      </c>
      <c r="AC74" s="7">
        <v>22.47</v>
      </c>
      <c r="AD74" s="7">
        <v>8.95</v>
      </c>
      <c r="AE74" t="inlineStr">
        <is>
          <t>漲</t>
        </is>
      </c>
      <c r="AF74" t="inlineStr">
        <is>
          <t>相似時點 11 段（24 個月）之後 12 個月的中位報酬</t>
        </is>
      </c>
      <c r="AG74" s="7">
        <v>5.2</v>
      </c>
      <c r="AH74" s="7">
        <v>60.6</v>
      </c>
      <c r="AI74" s="7">
        <v>26.46</v>
      </c>
      <c r="AJ74" s="7">
        <v>12.94</v>
      </c>
      <c r="AK74" t="inlineStr">
        <is>
          <t>漲</t>
        </is>
      </c>
      <c r="AL74" t="inlineStr">
        <is>
          <t>10 年位階 91.0%（最高 20%），這一組歷史 4 段之後 12 個月的中位報酬</t>
        </is>
      </c>
      <c r="AM74" t="inlineStr">
        <is>
          <t>漲</t>
        </is>
      </c>
      <c r="AN74" s="8">
        <v>3</v>
      </c>
      <c r="AO74" s="8">
        <v>0</v>
      </c>
      <c r="AP74" s="8">
        <v>0</v>
      </c>
      <c r="AQ74" t="inlineStr">
        <is>
          <t>3／3 面同向</t>
        </is>
      </c>
      <c r="AR74" s="7">
        <v>62.76</v>
      </c>
      <c r="AS74" s="7">
        <v>25.35</v>
      </c>
      <c r="AT74" s="7">
        <v>11.89</v>
      </c>
      <c r="AU74" s="8">
        <v>3</v>
      </c>
      <c r="AV74" t="inlineStr">
        <is>
          <t>漲</t>
        </is>
      </c>
      <c r="AW74" s="7">
        <v>5.68</v>
      </c>
      <c r="AX74" t="inlineStr">
        <is>
          <t>未校準集成</t>
        </is>
      </c>
      <c r="AY74" s="7">
        <v>63.06</v>
      </c>
      <c r="AZ74" s="7">
        <v>25.31</v>
      </c>
      <c r="BA74" s="7">
        <v>11.63</v>
      </c>
      <c r="BB74" t="inlineStr">
        <is>
          <t>漲</t>
        </is>
      </c>
      <c r="BC74" s="7">
        <v>-1.31</v>
      </c>
      <c r="BD74" s="7">
        <v>13.17</v>
      </c>
      <c r="BE74" s="7">
        <v>2.54</v>
      </c>
      <c r="BF74" s="7">
        <v>7.63</v>
      </c>
      <c r="BG74" t="inlineStr">
        <is>
          <t>總經面 +4.91%（P漲 59%／P跌 14% → 漲）、產業鏈面「高收益債上漲（市場敢冒險）」機率 97%、平常 96%（無訊號）、歷史類比面 +6.80%（P漲 69%／P跌 9% → 漲）、位階面 +5.20%（P漲 61%／P跌 13% → 漲）；持平帶 ±3.20%（σ_h 7.44%×0.43），各面假設實際報酬是以預估值為中心、σ_h 為標準差的常態。投票 漲 3，綜合判斷漲（3／3 面同向）；綜合機率 P漲 63%／P跌 12%（3 面平均）→ 漲。幅度推演：預測報酬 +5.68%（P漲 63%／P跌 12% → 漲），80% 結果區間 -1.31～+13.17%。</t>
        </is>
      </c>
      <c r="BH74" t="inlineStr">
        <is>
          <t>未到期</t>
        </is>
      </c>
    </row>
    <row r="75">
      <c r="A75" t="inlineStr">
        <is>
          <t>SC-2026-09-b_brk-H12</t>
        </is>
      </c>
      <c r="B75" t="inlineStr">
        <is>
          <t>SC-2026-09</t>
        </is>
      </c>
      <c r="C75" t="inlineStr">
        <is>
          <t>2026-10-12</t>
        </is>
      </c>
      <c r="D75" t="inlineStr">
        <is>
          <t>2026-09</t>
        </is>
      </c>
      <c r="E75" t="inlineStr">
        <is>
          <t>2026-09</t>
        </is>
      </c>
      <c r="F75" s="8">
        <v>12</v>
      </c>
      <c r="G75" t="inlineStr">
        <is>
          <t>2027-09</t>
        </is>
      </c>
      <c r="H75" t="inlineStr">
        <is>
          <t>波克夏 BRK-A</t>
        </is>
      </c>
      <c r="I75" t="inlineStr">
        <is>
          <t>b_brk</t>
        </is>
      </c>
      <c r="J75" s="7">
        <v>10.94</v>
      </c>
      <c r="K75" s="7">
        <v>17.35</v>
      </c>
      <c r="L75" s="8">
        <v>369</v>
      </c>
      <c r="M75" s="7">
        <v>7.46</v>
      </c>
      <c r="N75" s="7">
        <v>9.41</v>
      </c>
      <c r="O75" s="7">
        <v>54.47</v>
      </c>
      <c r="P75" s="7">
        <v>28.99</v>
      </c>
      <c r="Q75" s="7">
        <v>16.54</v>
      </c>
      <c r="R75" t="inlineStr">
        <is>
          <t>漲</t>
        </is>
      </c>
      <c r="S75" t="inlineStr">
        <is>
          <t>未校準：平常 +10.94% ＋ 模型超額 -1.53%</t>
        </is>
      </c>
      <c r="U75" t="inlineStr">
        <is>
          <t>無訊號</t>
        </is>
      </c>
      <c r="AA75" s="7">
        <v>18.0</v>
      </c>
      <c r="AB75" s="7">
        <v>72.82</v>
      </c>
      <c r="AC75" s="7">
        <v>20.07</v>
      </c>
      <c r="AD75" s="7">
        <v>7.11</v>
      </c>
      <c r="AE75" t="inlineStr">
        <is>
          <t>漲</t>
        </is>
      </c>
      <c r="AF75" t="inlineStr">
        <is>
          <t>相似時點 11 段（24 個月）之後 12 個月的中位報酬</t>
        </is>
      </c>
      <c r="AG75" s="7">
        <v>7.8</v>
      </c>
      <c r="AH75" s="7">
        <v>50.78</v>
      </c>
      <c r="AI75" s="7">
        <v>30.26</v>
      </c>
      <c r="AJ75" s="7">
        <v>18.96</v>
      </c>
      <c r="AK75" t="inlineStr">
        <is>
          <t>漲</t>
        </is>
      </c>
      <c r="AL75" t="inlineStr">
        <is>
          <t>10 年位階 90.0%（最高 20%），這一組歷史 6 段之後 12 個月的中位報酬</t>
        </is>
      </c>
      <c r="AM75" t="inlineStr">
        <is>
          <t>漲</t>
        </is>
      </c>
      <c r="AN75" s="8">
        <v>3</v>
      </c>
      <c r="AO75" s="8">
        <v>0</v>
      </c>
      <c r="AP75" s="8">
        <v>0</v>
      </c>
      <c r="AQ75" t="inlineStr">
        <is>
          <t>3／3 面同向</t>
        </is>
      </c>
      <c r="AR75" s="7">
        <v>59.36</v>
      </c>
      <c r="AS75" s="7">
        <v>26.44</v>
      </c>
      <c r="AT75" s="7">
        <v>14.2</v>
      </c>
      <c r="AU75" s="8">
        <v>3</v>
      </c>
      <c r="AV75" t="inlineStr">
        <is>
          <t>漲</t>
        </is>
      </c>
      <c r="AW75" s="7">
        <v>13.6</v>
      </c>
      <c r="AX75" t="inlineStr">
        <is>
          <t>未校準集成</t>
        </is>
      </c>
      <c r="AY75" s="7">
        <v>63.83</v>
      </c>
      <c r="AZ75" s="7">
        <v>24.93</v>
      </c>
      <c r="BA75" s="7">
        <v>11.24</v>
      </c>
      <c r="BB75" t="inlineStr">
        <is>
          <t>漲</t>
        </is>
      </c>
      <c r="BC75" s="7">
        <v>-7.53</v>
      </c>
      <c r="BD75" s="7">
        <v>32.58</v>
      </c>
      <c r="BE75" s="7">
        <v>3.62</v>
      </c>
      <c r="BF75" s="7">
        <v>15.43</v>
      </c>
      <c r="BG75" t="inlineStr">
        <is>
          <t>總經面 +9.41%（P漲 54%／P跌 17% → 漲）、產業鏈面 無訊號、歷史類比面 +18.00%（P漲 73%／P跌 7% → 漲）、位階面 +7.80%（P漲 51%／P跌 19% → 漲）；持平帶 ±7.46%（σ_h 17.35%×0.43），各面假設實際報酬是以預估值為中心、σ_h 為標準差的常態。投票 漲 3，綜合判斷漲（3／3 面同向）；綜合機率 P漲 59%／P跌 14%（3 面平均）→ 漲。幅度推演：預測報酬 +13.60%（P漲 64%／P跌 11% → 漲），80% 結果區間 -7.53～+32.58%。</t>
        </is>
      </c>
      <c r="BH75" t="inlineStr">
        <is>
          <t>未到期</t>
        </is>
      </c>
    </row>
    <row r="76">
      <c r="A76" t="inlineStr">
        <is>
          <t>SC-2026-09-c_gold-H12</t>
        </is>
      </c>
      <c r="B76" t="inlineStr">
        <is>
          <t>SC-2026-09</t>
        </is>
      </c>
      <c r="C76" t="inlineStr">
        <is>
          <t>2026-10-12</t>
        </is>
      </c>
      <c r="D76" t="inlineStr">
        <is>
          <t>2026-09</t>
        </is>
      </c>
      <c r="E76" t="inlineStr">
        <is>
          <t>2026-09</t>
        </is>
      </c>
      <c r="F76" s="8">
        <v>12</v>
      </c>
      <c r="G76" t="inlineStr">
        <is>
          <t>2027-10</t>
        </is>
      </c>
      <c r="H76" t="inlineStr">
        <is>
          <t>黃金</t>
        </is>
      </c>
      <c r="I76" t="inlineStr">
        <is>
          <t>c_gold</t>
        </is>
      </c>
      <c r="J76" s="7">
        <v>7.97</v>
      </c>
      <c r="K76" s="7">
        <v>15.82</v>
      </c>
      <c r="L76" s="8">
        <v>368</v>
      </c>
      <c r="M76" s="7">
        <v>6.8</v>
      </c>
      <c r="N76" s="7">
        <v>0.39</v>
      </c>
      <c r="O76" s="7">
        <v>34.27</v>
      </c>
      <c r="P76" s="7">
        <v>33.26</v>
      </c>
      <c r="Q76" s="7">
        <v>32.47</v>
      </c>
      <c r="R76" t="inlineStr">
        <is>
          <t>持平</t>
        </is>
      </c>
      <c r="S76" t="inlineStr">
        <is>
          <t>未校準：平常 +7.97% ＋ 模型超額 -7.58%</t>
        </is>
      </c>
      <c r="T76" s="7">
        <v>2.0</v>
      </c>
      <c r="U76" t="inlineStr">
        <is>
          <t>無訊號</t>
        </is>
      </c>
      <c r="V76" t="inlineStr">
        <is>
          <t>通膨</t>
        </is>
      </c>
      <c r="W76" t="inlineStr">
        <is>
          <t>黃金上漲</t>
        </is>
      </c>
      <c r="X76" t="inlineStr">
        <is>
          <t>inflation_gold</t>
        </is>
      </c>
      <c r="Y76" s="7">
        <v>77.0</v>
      </c>
      <c r="Z76" s="7">
        <v>75.0</v>
      </c>
      <c r="AA76" s="7">
        <v>3.9</v>
      </c>
      <c r="AB76" s="7">
        <v>42.73</v>
      </c>
      <c r="AC76" s="7">
        <v>32.33</v>
      </c>
      <c r="AD76" s="7">
        <v>24.94</v>
      </c>
      <c r="AE76" t="inlineStr">
        <is>
          <t>漲</t>
        </is>
      </c>
      <c r="AF76" t="inlineStr">
        <is>
          <t>相似時點 11 段（24 個月）之後 12 個月的中位報酬</t>
        </is>
      </c>
      <c r="AG76" s="7">
        <v>14.3</v>
      </c>
      <c r="AH76" s="7">
        <v>68.23</v>
      </c>
      <c r="AI76" s="7">
        <v>22.66</v>
      </c>
      <c r="AJ76" s="7">
        <v>9.11</v>
      </c>
      <c r="AK76" t="inlineStr">
        <is>
          <t>漲</t>
        </is>
      </c>
      <c r="AL76" t="inlineStr">
        <is>
          <t>10 年位階 95.0%（最高 20%），這一組歷史 4 段之後 12 個月的中位報酬</t>
        </is>
      </c>
      <c r="AM76" t="inlineStr">
        <is>
          <t>漲</t>
        </is>
      </c>
      <c r="AN76" s="8">
        <v>2</v>
      </c>
      <c r="AO76" s="8">
        <v>1</v>
      </c>
      <c r="AP76" s="8">
        <v>0</v>
      </c>
      <c r="AQ76" t="inlineStr">
        <is>
          <t>2／3 面同向</t>
        </is>
      </c>
      <c r="AR76" s="7">
        <v>48.41</v>
      </c>
      <c r="AS76" s="7">
        <v>29.42</v>
      </c>
      <c r="AT76" s="7">
        <v>22.17</v>
      </c>
      <c r="AU76" s="8">
        <v>3</v>
      </c>
      <c r="AV76" t="inlineStr">
        <is>
          <t>漲</t>
        </is>
      </c>
      <c r="AW76" s="7">
        <v>2.81</v>
      </c>
      <c r="AX76" t="inlineStr">
        <is>
          <t>未校準集成</t>
        </is>
      </c>
      <c r="AY76" s="7">
        <v>40.04</v>
      </c>
      <c r="AZ76" s="7">
        <v>32.78</v>
      </c>
      <c r="BA76" s="7">
        <v>27.18</v>
      </c>
      <c r="BB76" t="inlineStr">
        <is>
          <t>漲</t>
        </is>
      </c>
      <c r="BC76" s="7">
        <v>-16.51</v>
      </c>
      <c r="BD76" s="7">
        <v>22.81</v>
      </c>
      <c r="BE76" s="7">
        <v>-2.97</v>
      </c>
      <c r="BF76" s="7">
        <v>6.95</v>
      </c>
      <c r="BG76" t="inlineStr">
        <is>
          <t>總經面 +0.39%（P漲 34%／P跌 32% → 持平）、產業鏈面「黃金上漲」機率 77%、平常 75%（無訊號）、歷史類比面 +3.90%（P漲 43%／P跌 25% → 漲）、位階面 +14.30%（P漲 68%／P跌 9% → 漲）；持平帶 ±6.80%（σ_h 15.82%×0.43），各面假設實際報酬是以預估值為中心、σ_h 為標準差的常態。投票 漲 2、持平 1，綜合判斷漲（2／3 面同向）；綜合機率 P漲 48%／P跌 22%（3 面平均）→ 漲。幅度推演：預測報酬 +2.81%（P漲 40%／P跌 27% → 漲），80% 結果區間 -16.51～+22.81%。</t>
        </is>
      </c>
      <c r="BH76" t="inlineStr">
        <is>
          <t>未到期</t>
        </is>
      </c>
    </row>
    <row r="77">
      <c r="A77" t="inlineStr">
        <is>
          <t>SC-2026-09-c_silver-H12</t>
        </is>
      </c>
      <c r="B77" t="inlineStr">
        <is>
          <t>SC-2026-09</t>
        </is>
      </c>
      <c r="C77" t="inlineStr">
        <is>
          <t>2026-10-12</t>
        </is>
      </c>
      <c r="D77" t="inlineStr">
        <is>
          <t>2026-09</t>
        </is>
      </c>
      <c r="E77" t="inlineStr">
        <is>
          <t>2026-09</t>
        </is>
      </c>
      <c r="F77" s="8">
        <v>12</v>
      </c>
      <c r="G77" t="inlineStr">
        <is>
          <t>2027-10</t>
        </is>
      </c>
      <c r="H77" t="inlineStr">
        <is>
          <t>白銀</t>
        </is>
      </c>
      <c r="I77" t="inlineStr">
        <is>
          <t>c_silver</t>
        </is>
      </c>
      <c r="J77" s="7">
        <v>8.32</v>
      </c>
      <c r="K77" s="7">
        <v>26.35</v>
      </c>
      <c r="L77" s="8">
        <v>368</v>
      </c>
      <c r="M77" s="7">
        <v>11.33</v>
      </c>
      <c r="N77" s="7">
        <v>-1.46</v>
      </c>
      <c r="O77" s="7">
        <v>31.37</v>
      </c>
      <c r="P77" s="7">
        <v>33.23</v>
      </c>
      <c r="Q77" s="7">
        <v>35.4</v>
      </c>
      <c r="R77" t="inlineStr">
        <is>
          <t>持平</t>
        </is>
      </c>
      <c r="S77" t="inlineStr">
        <is>
          <t>未校準：平常 +8.32% ＋ 模型超額 -9.78%</t>
        </is>
      </c>
      <c r="U77" t="inlineStr">
        <is>
          <t>無訊號</t>
        </is>
      </c>
      <c r="AA77" s="7">
        <v>-5.9</v>
      </c>
      <c r="AB77" s="7">
        <v>25.66</v>
      </c>
      <c r="AC77" s="7">
        <v>32.5</v>
      </c>
      <c r="AD77" s="7">
        <v>41.84</v>
      </c>
      <c r="AE77" t="inlineStr">
        <is>
          <t>跌</t>
        </is>
      </c>
      <c r="AF77" t="inlineStr">
        <is>
          <t>相似時點 11 段（24 個月）之後 12 個月的中位報酬</t>
        </is>
      </c>
      <c r="AG77" s="7">
        <v>17.1</v>
      </c>
      <c r="AH77" s="7">
        <v>58.67</v>
      </c>
      <c r="AI77" s="7">
        <v>27.3</v>
      </c>
      <c r="AJ77" s="7">
        <v>14.03</v>
      </c>
      <c r="AK77" t="inlineStr">
        <is>
          <t>漲</t>
        </is>
      </c>
      <c r="AL77" t="inlineStr">
        <is>
          <t>10 年位階 94.0%（最高 20%），這一組歷史 6 段之後 12 個月的中位報酬</t>
        </is>
      </c>
      <c r="AM77" t="inlineStr">
        <is>
          <t>持平</t>
        </is>
      </c>
      <c r="AN77" s="8">
        <v>1</v>
      </c>
      <c r="AO77" s="8">
        <v>1</v>
      </c>
      <c r="AP77" s="8">
        <v>1</v>
      </c>
      <c r="AQ77" t="inlineStr">
        <is>
          <t>平手（漲 1、持平 1、跌 1）</t>
        </is>
      </c>
      <c r="AR77" s="7">
        <v>38.57</v>
      </c>
      <c r="AS77" s="7">
        <v>31.01</v>
      </c>
      <c r="AT77" s="7">
        <v>30.42</v>
      </c>
      <c r="AU77" s="8">
        <v>3</v>
      </c>
      <c r="AV77" t="inlineStr">
        <is>
          <t>持平</t>
        </is>
      </c>
      <c r="AW77" s="7">
        <v>-1.59</v>
      </c>
      <c r="AX77" t="inlineStr">
        <is>
          <t>未校準集成</t>
        </is>
      </c>
      <c r="AY77" s="7">
        <v>31.2</v>
      </c>
      <c r="AZ77" s="7">
        <v>33.22</v>
      </c>
      <c r="BA77" s="7">
        <v>35.58</v>
      </c>
      <c r="BB77" t="inlineStr">
        <is>
          <t>持平</t>
        </is>
      </c>
      <c r="BC77" s="7">
        <v>-31.11</v>
      </c>
      <c r="BD77" s="7">
        <v>32.73</v>
      </c>
      <c r="BE77" s="7">
        <v>-8.55</v>
      </c>
      <c r="BF77" s="7">
        <v>7.01</v>
      </c>
      <c r="BG77" t="inlineStr">
        <is>
          <t>總經面 -1.46%（P漲 31%／P跌 35% → 持平）、產業鏈面 無訊號、歷史類比面 -5.90%（P漲 26%／P跌 42% → 跌）、位階面 +17.10%（P漲 59%／P跌 14% → 漲）；持平帶 ±11.33%（σ_h 26.35%×0.43），各面假設實際報酬是以預估值為中心、σ_h 為標準差的常態。投票 漲 1、持平 1、跌 1 平手，綜合記為持平；綜合機率 P漲 39%／P跌 30%（3 面平均）→ 持平。幅度推演：預測報酬 -1.59%（P漲 31%／P跌 36% → 持平），80% 結果區間 -31.11～+32.73%。</t>
        </is>
      </c>
      <c r="BH77" t="inlineStr">
        <is>
          <t>未到期</t>
        </is>
      </c>
    </row>
    <row r="78">
      <c r="A78" t="inlineStr">
        <is>
          <t>SC-2026-09-c_platinum-H12</t>
        </is>
      </c>
      <c r="B78" t="inlineStr">
        <is>
          <t>SC-2026-09</t>
        </is>
      </c>
      <c r="C78" t="inlineStr">
        <is>
          <t>2026-10-12</t>
        </is>
      </c>
      <c r="D78" t="inlineStr">
        <is>
          <t>2026-09</t>
        </is>
      </c>
      <c r="E78" t="inlineStr">
        <is>
          <t>2026-09</t>
        </is>
      </c>
      <c r="F78" s="8">
        <v>12</v>
      </c>
      <c r="G78" t="inlineStr">
        <is>
          <t>2027-10</t>
        </is>
      </c>
      <c r="H78" t="inlineStr">
        <is>
          <t>白金</t>
        </is>
      </c>
      <c r="I78" t="inlineStr">
        <is>
          <t>c_platinum</t>
        </is>
      </c>
      <c r="J78" s="7">
        <v>4.84</v>
      </c>
      <c r="K78" s="7">
        <v>23.28</v>
      </c>
      <c r="L78" s="8">
        <v>368</v>
      </c>
      <c r="M78" s="7">
        <v>10.01</v>
      </c>
      <c r="N78" s="7">
        <v>8.77</v>
      </c>
      <c r="O78" s="7">
        <v>47.88</v>
      </c>
      <c r="P78" s="7">
        <v>31.13</v>
      </c>
      <c r="Q78" s="7">
        <v>20.99</v>
      </c>
      <c r="R78" t="inlineStr">
        <is>
          <t>漲</t>
        </is>
      </c>
      <c r="S78" t="inlineStr">
        <is>
          <t>未校準：平常 +4.84% ＋ 模型超額 +3.93%</t>
        </is>
      </c>
      <c r="U78" t="inlineStr">
        <is>
          <t>無訊號</t>
        </is>
      </c>
      <c r="AA78" s="7">
        <v>3.6</v>
      </c>
      <c r="AB78" s="7">
        <v>39.15</v>
      </c>
      <c r="AC78" s="7">
        <v>32.91</v>
      </c>
      <c r="AD78" s="7">
        <v>27.94</v>
      </c>
      <c r="AE78" t="inlineStr">
        <is>
          <t>持平</t>
        </is>
      </c>
      <c r="AF78" t="inlineStr">
        <is>
          <t>相似時點 11 段（24 個月）之後 12 個月的中位報酬</t>
        </is>
      </c>
      <c r="AG78" s="7">
        <v>11.8</v>
      </c>
      <c r="AH78" s="7">
        <v>53.06</v>
      </c>
      <c r="AI78" s="7">
        <v>29.5</v>
      </c>
      <c r="AJ78" s="7">
        <v>17.44</v>
      </c>
      <c r="AK78" t="inlineStr">
        <is>
          <t>漲</t>
        </is>
      </c>
      <c r="AL78" t="inlineStr">
        <is>
          <t>10 年位階 95.0%（最高 20%），這一組歷史 5 段之後 12 個月的中位報酬</t>
        </is>
      </c>
      <c r="AM78" t="inlineStr">
        <is>
          <t>漲</t>
        </is>
      </c>
      <c r="AN78" s="8">
        <v>2</v>
      </c>
      <c r="AO78" s="8">
        <v>1</v>
      </c>
      <c r="AP78" s="8">
        <v>0</v>
      </c>
      <c r="AQ78" t="inlineStr">
        <is>
          <t>2／3 面同向</t>
        </is>
      </c>
      <c r="AR78" s="7">
        <v>46.7</v>
      </c>
      <c r="AS78" s="7">
        <v>31.18</v>
      </c>
      <c r="AT78" s="7">
        <v>22.12</v>
      </c>
      <c r="AU78" s="8">
        <v>3</v>
      </c>
      <c r="AV78" t="inlineStr">
        <is>
          <t>漲</t>
        </is>
      </c>
      <c r="AW78" s="7">
        <v>7.28</v>
      </c>
      <c r="AX78" t="inlineStr">
        <is>
          <t>未校準集成</t>
        </is>
      </c>
      <c r="AY78" s="7">
        <v>45.33</v>
      </c>
      <c r="AZ78" s="7">
        <v>31.79</v>
      </c>
      <c r="BA78" s="7">
        <v>22.88</v>
      </c>
      <c r="BB78" t="inlineStr">
        <is>
          <t>漲</t>
        </is>
      </c>
      <c r="BC78" s="7">
        <v>-17.27</v>
      </c>
      <c r="BD78" s="7">
        <v>36.6</v>
      </c>
      <c r="BE78" s="7">
        <v>-1.09</v>
      </c>
      <c r="BF78" s="7">
        <v>17.34</v>
      </c>
      <c r="BG78" t="inlineStr">
        <is>
          <t>總經面 +8.77%（P漲 48%／P跌 21% → 漲）、產業鏈面 無訊號、歷史類比面 +3.60%（P漲 39%／P跌 28% → 持平）、位階面 +11.80%（P漲 53%／P跌 17% → 漲）；持平帶 ±10.01%（σ_h 23.28%×0.43），各面假設實際報酬是以預估值為中心、σ_h 為標準差的常態。投票 漲 2、持平 1，綜合判斷漲（2／3 面同向）；綜合機率 P漲 47%／P跌 22%（3 面平均）→ 漲。幅度推演：預測報酬 +7.28%（P漲 45%／P跌 23% → 漲），80% 結果區間 -17.27～+36.60%。</t>
        </is>
      </c>
      <c r="BH78" t="inlineStr">
        <is>
          <t>未到期</t>
        </is>
      </c>
    </row>
    <row r="79">
      <c r="A79" t="inlineStr">
        <is>
          <t>SC-2026-09-c_copper-H12</t>
        </is>
      </c>
      <c r="B79" t="inlineStr">
        <is>
          <t>SC-2026-09</t>
        </is>
      </c>
      <c r="C79" t="inlineStr">
        <is>
          <t>2026-10-12</t>
        </is>
      </c>
      <c r="D79" t="inlineStr">
        <is>
          <t>2026-09</t>
        </is>
      </c>
      <c r="E79" t="inlineStr">
        <is>
          <t>2026-09</t>
        </is>
      </c>
      <c r="F79" s="8">
        <v>12</v>
      </c>
      <c r="G79" t="inlineStr">
        <is>
          <t>2027-10</t>
        </is>
      </c>
      <c r="H79" t="inlineStr">
        <is>
          <t>銅</t>
        </is>
      </c>
      <c r="I79" t="inlineStr">
        <is>
          <t>c_copper</t>
        </is>
      </c>
      <c r="J79" s="7">
        <v>4.84</v>
      </c>
      <c r="K79" s="7">
        <v>27.4</v>
      </c>
      <c r="L79" s="8">
        <v>368</v>
      </c>
      <c r="M79" s="7">
        <v>11.78</v>
      </c>
      <c r="N79" s="7">
        <v>4.11</v>
      </c>
      <c r="O79" s="7">
        <v>38.98</v>
      </c>
      <c r="P79" s="7">
        <v>32.92</v>
      </c>
      <c r="Q79" s="7">
        <v>28.1</v>
      </c>
      <c r="R79" t="inlineStr">
        <is>
          <t>持平</t>
        </is>
      </c>
      <c r="S79" t="inlineStr">
        <is>
          <t>未校準：平常 +4.84% ＋ 模型超額 -0.73%</t>
        </is>
      </c>
      <c r="U79" t="inlineStr">
        <is>
          <t>無訊號</t>
        </is>
      </c>
      <c r="AA79" s="7">
        <v>8.4</v>
      </c>
      <c r="AB79" s="7">
        <v>45.09</v>
      </c>
      <c r="AC79" s="7">
        <v>31.84</v>
      </c>
      <c r="AD79" s="7">
        <v>23.07</v>
      </c>
      <c r="AE79" t="inlineStr">
        <is>
          <t>漲</t>
        </is>
      </c>
      <c r="AF79" t="inlineStr">
        <is>
          <t>相似時點 11 段（24 個月）之後 12 個月的中位報酬</t>
        </is>
      </c>
      <c r="AG79" s="7">
        <v>6.6</v>
      </c>
      <c r="AH79" s="7">
        <v>42.5</v>
      </c>
      <c r="AI79" s="7">
        <v>32.38</v>
      </c>
      <c r="AJ79" s="7">
        <v>25.12</v>
      </c>
      <c r="AK79" t="inlineStr">
        <is>
          <t>漲</t>
        </is>
      </c>
      <c r="AL79" t="inlineStr">
        <is>
          <t>10 年位階 100.0%（最高 20%），這一組歷史 7 段之後 12 個月的中位報酬</t>
        </is>
      </c>
      <c r="AM79" t="inlineStr">
        <is>
          <t>漲</t>
        </is>
      </c>
      <c r="AN79" s="8">
        <v>2</v>
      </c>
      <c r="AO79" s="8">
        <v>1</v>
      </c>
      <c r="AP79" s="8">
        <v>0</v>
      </c>
      <c r="AQ79" t="inlineStr">
        <is>
          <t>2／3 面同向</t>
        </is>
      </c>
      <c r="AR79" s="7">
        <v>42.19</v>
      </c>
      <c r="AS79" s="7">
        <v>32.38</v>
      </c>
      <c r="AT79" s="7">
        <v>25.43</v>
      </c>
      <c r="AU79" s="8">
        <v>3</v>
      </c>
      <c r="AV79" t="inlineStr">
        <is>
          <t>漲</t>
        </is>
      </c>
      <c r="AW79" s="7">
        <v>7.01</v>
      </c>
      <c r="AX79" t="inlineStr">
        <is>
          <t>未校準集成</t>
        </is>
      </c>
      <c r="AY79" s="7">
        <v>43.09</v>
      </c>
      <c r="AZ79" s="7">
        <v>32.27</v>
      </c>
      <c r="BA79" s="7">
        <v>24.64</v>
      </c>
      <c r="BB79" t="inlineStr">
        <is>
          <t>漲</t>
        </is>
      </c>
      <c r="BC79" s="7">
        <v>-22.94</v>
      </c>
      <c r="BD79" s="7">
        <v>40.02</v>
      </c>
      <c r="BE79" s="7">
        <v>-4.37</v>
      </c>
      <c r="BF79" s="7">
        <v>12.79</v>
      </c>
      <c r="BG79" t="inlineStr">
        <is>
          <t>總經面 +4.11%（P漲 39%／P跌 28% → 持平）、產業鏈面 無訊號、歷史類比面 +8.40%（P漲 45%／P跌 23% → 漲）、位階面 +6.60%（P漲 42%／P跌 25% → 漲）；持平帶 ±11.78%（σ_h 27.40%×0.43），各面假設實際報酬是以預估值為中心、σ_h 為標準差的常態。投票 漲 2、持平 1，綜合判斷漲（2／3 面同向）；綜合機率 P漲 42%／P跌 25%（3 面平均）→ 漲。幅度推演：預測報酬 +7.01%（P漲 43%／P跌 25% → 漲），80% 結果區間 -22.94～+40.02%。</t>
        </is>
      </c>
      <c r="BH79" t="inlineStr">
        <is>
          <t>未到期</t>
        </is>
      </c>
    </row>
    <row r="80">
      <c r="A80" t="inlineStr">
        <is>
          <t>SC-2026-09-c_alu-H12</t>
        </is>
      </c>
      <c r="B80" t="inlineStr">
        <is>
          <t>SC-2026-09</t>
        </is>
      </c>
      <c r="C80" t="inlineStr">
        <is>
          <t>2026-10-12</t>
        </is>
      </c>
      <c r="D80" t="inlineStr">
        <is>
          <t>2026-09</t>
        </is>
      </c>
      <c r="E80" t="inlineStr">
        <is>
          <t>2026-09</t>
        </is>
      </c>
      <c r="F80" s="8">
        <v>12</v>
      </c>
      <c r="G80" t="inlineStr">
        <is>
          <t>2027-10</t>
        </is>
      </c>
      <c r="H80" t="inlineStr">
        <is>
          <t>鋁</t>
        </is>
      </c>
      <c r="I80" t="inlineStr">
        <is>
          <t>c_alu</t>
        </is>
      </c>
      <c r="J80" s="7">
        <v>1.94</v>
      </c>
      <c r="K80" s="7">
        <v>20.78</v>
      </c>
      <c r="L80" s="8">
        <v>368</v>
      </c>
      <c r="M80" s="7">
        <v>8.94</v>
      </c>
      <c r="N80" s="7">
        <v>9.6</v>
      </c>
      <c r="O80" s="7">
        <v>51.27</v>
      </c>
      <c r="P80" s="7">
        <v>30.12</v>
      </c>
      <c r="Q80" s="7">
        <v>18.61</v>
      </c>
      <c r="R80" t="inlineStr">
        <is>
          <t>漲</t>
        </is>
      </c>
      <c r="S80" t="inlineStr">
        <is>
          <t>未校準：平常 +1.94% ＋ 模型超額 +7.66%</t>
        </is>
      </c>
      <c r="U80" t="inlineStr">
        <is>
          <t>無訊號</t>
        </is>
      </c>
      <c r="AA80" s="7">
        <v>10.08</v>
      </c>
      <c r="AB80" s="7">
        <v>52.19</v>
      </c>
      <c r="AC80" s="7">
        <v>29.81</v>
      </c>
      <c r="AD80" s="7">
        <v>18.0</v>
      </c>
      <c r="AE80" t="inlineStr">
        <is>
          <t>漲</t>
        </is>
      </c>
      <c r="AF80" t="inlineStr">
        <is>
          <t>沒有確切標的資料：平常 +1.94% ＋ 相似時點中位超額 +8.14%</t>
        </is>
      </c>
      <c r="AK80" t="inlineStr">
        <is>
          <t>無訊號</t>
        </is>
      </c>
      <c r="AL80" t="inlineStr">
        <is>
          <t>沒有位階資料</t>
        </is>
      </c>
      <c r="AM80" t="inlineStr">
        <is>
          <t>漲</t>
        </is>
      </c>
      <c r="AN80" s="8">
        <v>2</v>
      </c>
      <c r="AO80" s="8">
        <v>0</v>
      </c>
      <c r="AP80" s="8">
        <v>0</v>
      </c>
      <c r="AQ80" t="inlineStr">
        <is>
          <t>2／2 面同向</t>
        </is>
      </c>
      <c r="AR80" s="7">
        <v>51.73</v>
      </c>
      <c r="AS80" s="7">
        <v>29.96</v>
      </c>
      <c r="AT80" s="7">
        <v>18.3</v>
      </c>
      <c r="AU80" s="8">
        <v>2</v>
      </c>
      <c r="AV80" t="inlineStr">
        <is>
          <t>漲</t>
        </is>
      </c>
      <c r="AW80" s="7">
        <v>9.84</v>
      </c>
      <c r="AX80" t="inlineStr">
        <is>
          <t>未校準集成</t>
        </is>
      </c>
      <c r="AY80" s="7">
        <v>51.73</v>
      </c>
      <c r="AZ80" s="7">
        <v>29.96</v>
      </c>
      <c r="BA80" s="7">
        <v>18.31</v>
      </c>
      <c r="BB80" t="inlineStr">
        <is>
          <t>漲</t>
        </is>
      </c>
      <c r="BC80" s="7">
        <v>-13.09</v>
      </c>
      <c r="BD80" s="7">
        <v>34.16</v>
      </c>
      <c r="BE80" s="7">
        <v>2.58</v>
      </c>
      <c r="BF80" s="7">
        <v>15.98</v>
      </c>
      <c r="BG80" t="inlineStr">
        <is>
          <t>總經面 +9.60%（P漲 51%／P跌 19% → 漲）、產業鏈面 無訊號、歷史類比面 +10.08%（P漲 52%／P跌 18% → 漲）、位階面 無訊號；持平帶 ±8.94%（σ_h 20.78%×0.43），各面假設實際報酬是以預估值為中心、σ_h 為標準差的常態。投票 漲 2，綜合判斷漲（2／2 面同向）；綜合機率 P漲 52%／P跌 18%（2 面平均）→ 漲。幅度推演：預測報酬 +9.84%（P漲 52%／P跌 18% → 漲），80% 結果區間 -13.09～+34.16%。</t>
        </is>
      </c>
      <c r="BH80" t="inlineStr">
        <is>
          <t>未到期</t>
        </is>
      </c>
    </row>
    <row r="81">
      <c r="A81" t="inlineStr">
        <is>
          <t>SC-2026-09-c_brent-H12</t>
        </is>
      </c>
      <c r="B81" t="inlineStr">
        <is>
          <t>SC-2026-09</t>
        </is>
      </c>
      <c r="C81" t="inlineStr">
        <is>
          <t>2026-10-12</t>
        </is>
      </c>
      <c r="D81" t="inlineStr">
        <is>
          <t>2026-09</t>
        </is>
      </c>
      <c r="E81" t="inlineStr">
        <is>
          <t>2026-09</t>
        </is>
      </c>
      <c r="F81" s="8">
        <v>12</v>
      </c>
      <c r="G81" t="inlineStr">
        <is>
          <t>2027-10</t>
        </is>
      </c>
      <c r="H81" t="inlineStr">
        <is>
          <t>布蘭特原油</t>
        </is>
      </c>
      <c r="I81" t="inlineStr">
        <is>
          <t>c_brent</t>
        </is>
      </c>
      <c r="J81" s="7">
        <v>5.18</v>
      </c>
      <c r="K81" s="7">
        <v>35.66</v>
      </c>
      <c r="L81" s="8">
        <v>368</v>
      </c>
      <c r="M81" s="7">
        <v>15.33</v>
      </c>
      <c r="N81" s="7">
        <v>20.42</v>
      </c>
      <c r="O81" s="7">
        <v>55.68</v>
      </c>
      <c r="P81" s="7">
        <v>28.52</v>
      </c>
      <c r="Q81" s="7">
        <v>15.8</v>
      </c>
      <c r="R81" t="inlineStr">
        <is>
          <t>漲</t>
        </is>
      </c>
      <c r="S81" t="inlineStr">
        <is>
          <t>未校準：平常 +5.18% ＋ 模型超額 +15.24%</t>
        </is>
      </c>
      <c r="U81" t="inlineStr">
        <is>
          <t>無訊號</t>
        </is>
      </c>
      <c r="AA81" s="7">
        <v>7.23</v>
      </c>
      <c r="AB81" s="7">
        <v>41.02</v>
      </c>
      <c r="AC81" s="7">
        <v>32.63</v>
      </c>
      <c r="AD81" s="7">
        <v>26.35</v>
      </c>
      <c r="AE81" t="inlineStr">
        <is>
          <t>漲</t>
        </is>
      </c>
      <c r="AF81" t="inlineStr">
        <is>
          <t>沒有確切標的資料：平常 +5.18% ＋ 相似時點中位超額 +2.05%</t>
        </is>
      </c>
      <c r="AK81" t="inlineStr">
        <is>
          <t>無訊號</t>
        </is>
      </c>
      <c r="AL81" t="inlineStr">
        <is>
          <t>沒有位階資料</t>
        </is>
      </c>
      <c r="AM81" t="inlineStr">
        <is>
          <t>漲</t>
        </is>
      </c>
      <c r="AN81" s="8">
        <v>2</v>
      </c>
      <c r="AO81" s="8">
        <v>0</v>
      </c>
      <c r="AP81" s="8">
        <v>0</v>
      </c>
      <c r="AQ81" t="inlineStr">
        <is>
          <t>2／2 面同向</t>
        </is>
      </c>
      <c r="AR81" s="7">
        <v>48.35</v>
      </c>
      <c r="AS81" s="7">
        <v>30.58</v>
      </c>
      <c r="AT81" s="7">
        <v>21.08</v>
      </c>
      <c r="AU81" s="8">
        <v>2</v>
      </c>
      <c r="AV81" t="inlineStr">
        <is>
          <t>漲</t>
        </is>
      </c>
      <c r="AW81" s="7">
        <v>13.82</v>
      </c>
      <c r="AX81" t="inlineStr">
        <is>
          <t>未校準集成</t>
        </is>
      </c>
      <c r="AY81" s="7">
        <v>48.31</v>
      </c>
      <c r="AZ81" s="7">
        <v>31.01</v>
      </c>
      <c r="BA81" s="7">
        <v>20.68</v>
      </c>
      <c r="BB81" t="inlineStr">
        <is>
          <t>漲</t>
        </is>
      </c>
      <c r="BC81" s="7">
        <v>-33.3</v>
      </c>
      <c r="BD81" s="7">
        <v>58.17</v>
      </c>
      <c r="BE81" s="7">
        <v>6.78</v>
      </c>
      <c r="BF81" s="7">
        <v>34.18</v>
      </c>
      <c r="BG81" t="inlineStr">
        <is>
          <t>總經面 +20.42%（P漲 56%／P跌 16% → 漲）、產業鏈面 無訊號、歷史類比面 +7.23%（P漲 41%／P跌 26% → 漲）、位階面 無訊號；持平帶 ±15.33%（σ_h 35.66%×0.43），各面假設實際報酬是以預估值為中心、σ_h 為標準差的常態。投票 漲 2，綜合判斷漲（2／2 面同向）；綜合機率 P漲 48%／P跌 21%（2 面平均）→ 漲。幅度推演：預測報酬 +13.82%（P漲 48%／P跌 21% → 漲），80% 結果區間 -33.30～+58.17%。</t>
        </is>
      </c>
      <c r="BH81" t="inlineStr">
        <is>
          <t>未到期</t>
        </is>
      </c>
    </row>
    <row r="82">
      <c r="A82" t="inlineStr">
        <is>
          <t>SC-2026-09-c_wti-H12</t>
        </is>
      </c>
      <c r="B82" t="inlineStr">
        <is>
          <t>SC-2026-09</t>
        </is>
      </c>
      <c r="C82" t="inlineStr">
        <is>
          <t>2026-10-12</t>
        </is>
      </c>
      <c r="D82" t="inlineStr">
        <is>
          <t>2026-09</t>
        </is>
      </c>
      <c r="E82" t="inlineStr">
        <is>
          <t>2026-09</t>
        </is>
      </c>
      <c r="F82" s="8">
        <v>12</v>
      </c>
      <c r="G82" t="inlineStr">
        <is>
          <t>2027-10</t>
        </is>
      </c>
      <c r="H82" t="inlineStr">
        <is>
          <t>WTI 原油</t>
        </is>
      </c>
      <c r="I82" t="inlineStr">
        <is>
          <t>c_wti</t>
        </is>
      </c>
      <c r="J82" s="7">
        <v>4.63</v>
      </c>
      <c r="K82" s="7">
        <v>35.14</v>
      </c>
      <c r="L82" s="8">
        <v>368</v>
      </c>
      <c r="M82" s="7">
        <v>15.11</v>
      </c>
      <c r="N82" s="7">
        <v>18.86</v>
      </c>
      <c r="O82" s="7">
        <v>54.25</v>
      </c>
      <c r="P82" s="7">
        <v>29.07</v>
      </c>
      <c r="Q82" s="7">
        <v>16.68</v>
      </c>
      <c r="R82" t="inlineStr">
        <is>
          <t>漲</t>
        </is>
      </c>
      <c r="S82" t="inlineStr">
        <is>
          <t>未校準：平常 +4.63% ＋ 模型超額 +14.23%</t>
        </is>
      </c>
      <c r="U82" t="inlineStr">
        <is>
          <t>無訊號</t>
        </is>
      </c>
      <c r="AA82" s="7">
        <v>8.3</v>
      </c>
      <c r="AB82" s="7">
        <v>42.32</v>
      </c>
      <c r="AC82" s="7">
        <v>32.42</v>
      </c>
      <c r="AD82" s="7">
        <v>25.26</v>
      </c>
      <c r="AE82" t="inlineStr">
        <is>
          <t>漲</t>
        </is>
      </c>
      <c r="AF82" t="inlineStr">
        <is>
          <t>相似時點 11 段（24 個月）之後 12 個月的中位報酬</t>
        </is>
      </c>
      <c r="AG82" s="7">
        <v>3.7</v>
      </c>
      <c r="AH82" s="7">
        <v>37.27</v>
      </c>
      <c r="AI82" s="7">
        <v>33.11</v>
      </c>
      <c r="AJ82" s="7">
        <v>29.62</v>
      </c>
      <c r="AK82" t="inlineStr">
        <is>
          <t>持平</t>
        </is>
      </c>
      <c r="AL82" t="inlineStr">
        <is>
          <t>10 年位階 94.0%（最高 20%），這一組歷史 7 段之後 12 個月的中位報酬</t>
        </is>
      </c>
      <c r="AM82" t="inlineStr">
        <is>
          <t>漲</t>
        </is>
      </c>
      <c r="AN82" s="8">
        <v>2</v>
      </c>
      <c r="AO82" s="8">
        <v>1</v>
      </c>
      <c r="AP82" s="8">
        <v>0</v>
      </c>
      <c r="AQ82" t="inlineStr">
        <is>
          <t>2／3 面同向</t>
        </is>
      </c>
      <c r="AR82" s="7">
        <v>44.61</v>
      </c>
      <c r="AS82" s="7">
        <v>31.53</v>
      </c>
      <c r="AT82" s="7">
        <v>23.85</v>
      </c>
      <c r="AU82" s="8">
        <v>3</v>
      </c>
      <c r="AV82" t="inlineStr">
        <is>
          <t>漲</t>
        </is>
      </c>
      <c r="AW82" s="7">
        <v>12.48</v>
      </c>
      <c r="AX82" t="inlineStr">
        <is>
          <t>未校準集成</t>
        </is>
      </c>
      <c r="AY82" s="7">
        <v>47.02</v>
      </c>
      <c r="AZ82" s="7">
        <v>31.36</v>
      </c>
      <c r="BA82" s="7">
        <v>21.62</v>
      </c>
      <c r="BB82" t="inlineStr">
        <is>
          <t>漲</t>
        </is>
      </c>
      <c r="BC82" s="7">
        <v>-31.4</v>
      </c>
      <c r="BD82" s="7">
        <v>55.43</v>
      </c>
      <c r="BE82" s="7">
        <v>4.29</v>
      </c>
      <c r="BF82" s="7">
        <v>29.8</v>
      </c>
      <c r="BG82" t="inlineStr">
        <is>
          <t>總經面 +18.86%（P漲 54%／P跌 17% → 漲）、產業鏈面 無訊號、歷史類比面 +8.30%（P漲 42%／P跌 25% → 漲）、位階面 +3.70%（P漲 37%／P跌 30% → 持平）；持平帶 ±15.11%（σ_h 35.14%×0.43），各面假設實際報酬是以預估值為中心、σ_h 為標準差的常態。投票 漲 2、持平 1，綜合判斷漲（2／3 面同向）；綜合機率 P漲 45%／P跌 24%（3 面平均）→ 漲。幅度推演：預測報酬 +12.48%（P漲 47%／P跌 22% → 漲），80% 結果區間 -31.40～+55.43%。</t>
        </is>
      </c>
      <c r="BH82" t="inlineStr">
        <is>
          <t>未到期</t>
        </is>
      </c>
    </row>
    <row r="83">
      <c r="A83" t="inlineStr">
        <is>
          <t>SC-2026-09-c_natgas-H12</t>
        </is>
      </c>
      <c r="B83" t="inlineStr">
        <is>
          <t>SC-2026-09</t>
        </is>
      </c>
      <c r="C83" t="inlineStr">
        <is>
          <t>2026-10-12</t>
        </is>
      </c>
      <c r="D83" t="inlineStr">
        <is>
          <t>2026-09</t>
        </is>
      </c>
      <c r="E83" t="inlineStr">
        <is>
          <t>2026-09</t>
        </is>
      </c>
      <c r="F83" s="8">
        <v>12</v>
      </c>
      <c r="G83" t="inlineStr">
        <is>
          <t>2027-10</t>
        </is>
      </c>
      <c r="H83" t="inlineStr">
        <is>
          <t>美國天然氣</t>
        </is>
      </c>
      <c r="I83" t="inlineStr">
        <is>
          <t>c_natgas</t>
        </is>
      </c>
      <c r="J83" s="7">
        <v>2.11</v>
      </c>
      <c r="K83" s="7">
        <v>46.93</v>
      </c>
      <c r="L83" s="8">
        <v>368</v>
      </c>
      <c r="M83" s="7">
        <v>20.18</v>
      </c>
      <c r="N83" s="7">
        <v>22.62</v>
      </c>
      <c r="O83" s="7">
        <v>52.07</v>
      </c>
      <c r="P83" s="7">
        <v>29.84</v>
      </c>
      <c r="Q83" s="7">
        <v>18.09</v>
      </c>
      <c r="R83" t="inlineStr">
        <is>
          <t>漲</t>
        </is>
      </c>
      <c r="S83" t="inlineStr">
        <is>
          <t>未校準：平常 +2.11% ＋ 模型超額 +20.51%</t>
        </is>
      </c>
      <c r="U83" t="inlineStr">
        <is>
          <t>無訊號</t>
        </is>
      </c>
      <c r="AA83" s="7">
        <v>10.2</v>
      </c>
      <c r="AB83" s="7">
        <v>41.58</v>
      </c>
      <c r="AC83" s="7">
        <v>32.55</v>
      </c>
      <c r="AD83" s="7">
        <v>25.87</v>
      </c>
      <c r="AE83" t="inlineStr">
        <is>
          <t>漲</t>
        </is>
      </c>
      <c r="AF83" t="inlineStr">
        <is>
          <t>相似時點 11 段（24 個月）之後 12 個月的中位報酬</t>
        </is>
      </c>
      <c r="AG83" s="7">
        <v>-4.2</v>
      </c>
      <c r="AH83" s="7">
        <v>30.17</v>
      </c>
      <c r="AI83" s="7">
        <v>33.16</v>
      </c>
      <c r="AJ83" s="7">
        <v>36.67</v>
      </c>
      <c r="AK83" t="inlineStr">
        <is>
          <t>持平</t>
        </is>
      </c>
      <c r="AL83" t="inlineStr">
        <is>
          <t>10 年位階 55.0%（40～60%），這一組歷史 12 段之後 12 個月的中位報酬</t>
        </is>
      </c>
      <c r="AM83" t="inlineStr">
        <is>
          <t>漲</t>
        </is>
      </c>
      <c r="AN83" s="8">
        <v>2</v>
      </c>
      <c r="AO83" s="8">
        <v>1</v>
      </c>
      <c r="AP83" s="8">
        <v>0</v>
      </c>
      <c r="AQ83" t="inlineStr">
        <is>
          <t>2／3 面同向</t>
        </is>
      </c>
      <c r="AR83" s="7">
        <v>41.27</v>
      </c>
      <c r="AS83" s="7">
        <v>31.85</v>
      </c>
      <c r="AT83" s="7">
        <v>26.88</v>
      </c>
      <c r="AU83" s="8">
        <v>3</v>
      </c>
      <c r="AV83" t="inlineStr">
        <is>
          <t>漲</t>
        </is>
      </c>
      <c r="AW83" s="7">
        <v>15.05</v>
      </c>
      <c r="AX83" t="inlineStr">
        <is>
          <t>未校準集成</t>
        </is>
      </c>
      <c r="AY83" s="7">
        <v>45.65</v>
      </c>
      <c r="AZ83" s="7">
        <v>31.71</v>
      </c>
      <c r="BA83" s="7">
        <v>22.64</v>
      </c>
      <c r="BB83" t="inlineStr">
        <is>
          <t>漲</t>
        </is>
      </c>
      <c r="BC83" s="7">
        <v>-44.7</v>
      </c>
      <c r="BD83" s="7">
        <v>71.31</v>
      </c>
      <c r="BE83" s="7">
        <v>4.5</v>
      </c>
      <c r="BF83" s="7">
        <v>37.89</v>
      </c>
      <c r="BG83" t="inlineStr">
        <is>
          <t>總經面 +22.62%（P漲 52%／P跌 18% → 漲）、產業鏈面 無訊號、歷史類比面 +10.20%（P漲 42%／P跌 26% → 漲）、位階面 -4.20%（P漲 30%／P跌 37% → 持平）；持平帶 ±20.18%（σ_h 46.93%×0.43），各面假設實際報酬是以預估值為中心、σ_h 為標準差的常態。投票 漲 2、持平 1，綜合判斷漲（2／3 面同向）；綜合機率 P漲 41%／P跌 27%（3 面平均）→ 漲。幅度推演：預測報酬 +15.05%（P漲 46%／P跌 23% → 漲），80% 結果區間 -44.70～+71.31%。</t>
        </is>
      </c>
      <c r="BH83" t="inlineStr">
        <is>
          <t>未到期</t>
        </is>
      </c>
    </row>
    <row r="84">
      <c r="A84" t="inlineStr">
        <is>
          <t>SC-2026-09-c_maize-H12</t>
        </is>
      </c>
      <c r="B84" t="inlineStr">
        <is>
          <t>SC-2026-09</t>
        </is>
      </c>
      <c r="C84" t="inlineStr">
        <is>
          <t>2026-10-12</t>
        </is>
      </c>
      <c r="D84" t="inlineStr">
        <is>
          <t>2026-09</t>
        </is>
      </c>
      <c r="E84" t="inlineStr">
        <is>
          <t>2026-09</t>
        </is>
      </c>
      <c r="F84" s="8">
        <v>12</v>
      </c>
      <c r="G84" t="inlineStr">
        <is>
          <t>2027-10</t>
        </is>
      </c>
      <c r="H84" t="inlineStr">
        <is>
          <t>玉米</t>
        </is>
      </c>
      <c r="I84" t="inlineStr">
        <is>
          <t>c_maize</t>
        </is>
      </c>
      <c r="J84" s="7">
        <v>1.67</v>
      </c>
      <c r="K84" s="7">
        <v>25.06</v>
      </c>
      <c r="L84" s="8">
        <v>368</v>
      </c>
      <c r="M84" s="7">
        <v>10.78</v>
      </c>
      <c r="N84" s="7">
        <v>-9.38</v>
      </c>
      <c r="O84" s="7">
        <v>21.06</v>
      </c>
      <c r="P84" s="7">
        <v>31.17</v>
      </c>
      <c r="Q84" s="7">
        <v>47.77</v>
      </c>
      <c r="R84" t="inlineStr">
        <is>
          <t>跌</t>
        </is>
      </c>
      <c r="S84" t="inlineStr">
        <is>
          <t>未校準：平常 +1.67% ＋ 模型超額 -11.05%</t>
        </is>
      </c>
      <c r="U84" t="inlineStr">
        <is>
          <t>無訊號</t>
        </is>
      </c>
      <c r="AA84" s="7">
        <v>-1.7</v>
      </c>
      <c r="AB84" s="7">
        <v>30.92</v>
      </c>
      <c r="AC84" s="7">
        <v>33.22</v>
      </c>
      <c r="AD84" s="7">
        <v>35.86</v>
      </c>
      <c r="AE84" t="inlineStr">
        <is>
          <t>持平</t>
        </is>
      </c>
      <c r="AF84" t="inlineStr">
        <is>
          <t>沒有確切標的資料：平常 +1.67% ＋ 相似時點中位超額 -3.37%</t>
        </is>
      </c>
      <c r="AK84" t="inlineStr">
        <is>
          <t>無訊號</t>
        </is>
      </c>
      <c r="AL84" t="inlineStr">
        <is>
          <t>沒有位階資料</t>
        </is>
      </c>
      <c r="AM84" t="inlineStr">
        <is>
          <t>持平</t>
        </is>
      </c>
      <c r="AN84" s="8">
        <v>0</v>
      </c>
      <c r="AO84" s="8">
        <v>1</v>
      </c>
      <c r="AP84" s="8">
        <v>1</v>
      </c>
      <c r="AQ84" t="inlineStr">
        <is>
          <t>平手（持平 1、跌 1）</t>
        </is>
      </c>
      <c r="AR84" s="7">
        <v>25.99</v>
      </c>
      <c r="AS84" s="7">
        <v>32.2</v>
      </c>
      <c r="AT84" s="7">
        <v>41.81</v>
      </c>
      <c r="AU84" s="8">
        <v>2</v>
      </c>
      <c r="AV84" t="inlineStr">
        <is>
          <t>跌</t>
        </is>
      </c>
      <c r="AW84" s="7">
        <v>-5.54</v>
      </c>
      <c r="AX84" t="inlineStr">
        <is>
          <t>未校準集成</t>
        </is>
      </c>
      <c r="AY84" s="7">
        <v>25.74</v>
      </c>
      <c r="AZ84" s="7">
        <v>32.54</v>
      </c>
      <c r="BA84" s="7">
        <v>41.72</v>
      </c>
      <c r="BB84" t="inlineStr">
        <is>
          <t>跌</t>
        </is>
      </c>
      <c r="BC84" s="7">
        <v>-37.49</v>
      </c>
      <c r="BD84" s="7">
        <v>28.85</v>
      </c>
      <c r="BE84" s="7">
        <v>-20.08</v>
      </c>
      <c r="BF84" s="7">
        <v>2.75</v>
      </c>
      <c r="BG84" t="inlineStr">
        <is>
          <t>總經面 -9.38%（P漲 21%／P跌 48% → 跌）、產業鏈面 無訊號、歷史類比面 -1.70%（P漲 31%／P跌 36% → 持平）、位階面 無訊號；持平帶 ±10.78%（σ_h 25.06%×0.43），各面假設實際報酬是以預估值為中心、σ_h 為標準差的常態。投票 持平 1、跌 1 平手，綜合記為持平；綜合機率 P漲 26%／P跌 42%（2 面平均）→ 跌。幅度推演：預測報酬 -5.54%（P漲 26%／P跌 42% → 跌），80% 結果區間 -37.49～+28.85%。</t>
        </is>
      </c>
      <c r="BH84" t="inlineStr">
        <is>
          <t>未到期</t>
        </is>
      </c>
    </row>
    <row r="85">
      <c r="A85" t="inlineStr">
        <is>
          <t>SC-2026-09-c_soy-H12</t>
        </is>
      </c>
      <c r="B85" t="inlineStr">
        <is>
          <t>SC-2026-09</t>
        </is>
      </c>
      <c r="C85" t="inlineStr">
        <is>
          <t>2026-10-12</t>
        </is>
      </c>
      <c r="D85" t="inlineStr">
        <is>
          <t>2026-09</t>
        </is>
      </c>
      <c r="E85" t="inlineStr">
        <is>
          <t>2026-09</t>
        </is>
      </c>
      <c r="F85" s="8">
        <v>12</v>
      </c>
      <c r="G85" t="inlineStr">
        <is>
          <t>2027-10</t>
        </is>
      </c>
      <c r="H85" t="inlineStr">
        <is>
          <t>大豆</t>
        </is>
      </c>
      <c r="I85" t="inlineStr">
        <is>
          <t>c_soy</t>
        </is>
      </c>
      <c r="J85" s="7">
        <v>1.81</v>
      </c>
      <c r="K85" s="7">
        <v>20.78</v>
      </c>
      <c r="L85" s="8">
        <v>368</v>
      </c>
      <c r="M85" s="7">
        <v>8.94</v>
      </c>
      <c r="N85" s="7">
        <v>-5.99</v>
      </c>
      <c r="O85" s="7">
        <v>23.62</v>
      </c>
      <c r="P85" s="7">
        <v>32.02</v>
      </c>
      <c r="Q85" s="7">
        <v>44.36</v>
      </c>
      <c r="R85" t="inlineStr">
        <is>
          <t>跌</t>
        </is>
      </c>
      <c r="S85" t="inlineStr">
        <is>
          <t>未校準：平常 +1.81% ＋ 模型超額 -7.80%</t>
        </is>
      </c>
      <c r="U85" t="inlineStr">
        <is>
          <t>無訊號</t>
        </is>
      </c>
      <c r="AA85" s="7">
        <v>1.51</v>
      </c>
      <c r="AB85" s="7">
        <v>36.03</v>
      </c>
      <c r="AC85" s="7">
        <v>33.22</v>
      </c>
      <c r="AD85" s="7">
        <v>30.75</v>
      </c>
      <c r="AE85" t="inlineStr">
        <is>
          <t>持平</t>
        </is>
      </c>
      <c r="AF85" t="inlineStr">
        <is>
          <t>沒有確切標的資料：平常 +1.81% ＋ 相似時點中位超額 -0.30%</t>
        </is>
      </c>
      <c r="AK85" t="inlineStr">
        <is>
          <t>無訊號</t>
        </is>
      </c>
      <c r="AL85" t="inlineStr">
        <is>
          <t>沒有位階資料</t>
        </is>
      </c>
      <c r="AM85" t="inlineStr">
        <is>
          <t>持平</t>
        </is>
      </c>
      <c r="AN85" s="8">
        <v>0</v>
      </c>
      <c r="AO85" s="8">
        <v>1</v>
      </c>
      <c r="AP85" s="8">
        <v>1</v>
      </c>
      <c r="AQ85" t="inlineStr">
        <is>
          <t>平手（持平 1、跌 1）</t>
        </is>
      </c>
      <c r="AR85" s="7">
        <v>29.83</v>
      </c>
      <c r="AS85" s="7">
        <v>32.62</v>
      </c>
      <c r="AT85" s="7">
        <v>37.55</v>
      </c>
      <c r="AU85" s="8">
        <v>2</v>
      </c>
      <c r="AV85" t="inlineStr">
        <is>
          <t>持平</t>
        </is>
      </c>
      <c r="AW85" s="7">
        <v>-2.24</v>
      </c>
      <c r="AX85" t="inlineStr">
        <is>
          <t>未校準集成</t>
        </is>
      </c>
      <c r="AY85" s="7">
        <v>29.53</v>
      </c>
      <c r="AZ85" s="7">
        <v>33.11</v>
      </c>
      <c r="BA85" s="7">
        <v>37.36</v>
      </c>
      <c r="BB85" t="inlineStr">
        <is>
          <t>持平</t>
        </is>
      </c>
      <c r="BC85" s="7">
        <v>-27.16</v>
      </c>
      <c r="BD85" s="7">
        <v>23.89</v>
      </c>
      <c r="BE85" s="7">
        <v>-13.92</v>
      </c>
      <c r="BF85" s="7">
        <v>3.78</v>
      </c>
      <c r="BG85" t="inlineStr">
        <is>
          <t>總經面 -5.99%（P漲 24%／P跌 44% → 跌）、產業鏈面 無訊號、歷史類比面 +1.51%（P漲 36%／P跌 31% → 持平）、位階面 無訊號；持平帶 ±8.94%（σ_h 20.78%×0.43），各面假設實際報酬是以預估值為中心、σ_h 為標準差的常態。投票 持平 1、跌 1 平手，綜合記為持平；綜合機率 P漲 30%／P跌 38%（2 面平均）→ 持平。幅度推演：預測報酬 -2.24%（P漲 30%／P跌 37% → 持平），80% 結果區間 -27.16～+23.89%。</t>
        </is>
      </c>
      <c r="BH85" t="inlineStr">
        <is>
          <t>未到期</t>
        </is>
      </c>
    </row>
    <row r="86">
      <c r="A86" t="inlineStr">
        <is>
          <t>SC-2026-09-c_wheat-H12</t>
        </is>
      </c>
      <c r="B86" t="inlineStr">
        <is>
          <t>SC-2026-09</t>
        </is>
      </c>
      <c r="C86" t="inlineStr">
        <is>
          <t>2026-10-12</t>
        </is>
      </c>
      <c r="D86" t="inlineStr">
        <is>
          <t>2026-09</t>
        </is>
      </c>
      <c r="E86" t="inlineStr">
        <is>
          <t>2026-09</t>
        </is>
      </c>
      <c r="F86" s="8">
        <v>12</v>
      </c>
      <c r="G86" t="inlineStr">
        <is>
          <t>2027-10</t>
        </is>
      </c>
      <c r="H86" t="inlineStr">
        <is>
          <t>小麥</t>
        </is>
      </c>
      <c r="I86" t="inlineStr">
        <is>
          <t>c_wheat</t>
        </is>
      </c>
      <c r="J86" s="7">
        <v>1.42</v>
      </c>
      <c r="K86" s="7">
        <v>25.62</v>
      </c>
      <c r="L86" s="8">
        <v>368</v>
      </c>
      <c r="M86" s="7">
        <v>11.02</v>
      </c>
      <c r="N86" s="7">
        <v>-4.78</v>
      </c>
      <c r="O86" s="7">
        <v>26.87</v>
      </c>
      <c r="P86" s="7">
        <v>32.75</v>
      </c>
      <c r="Q86" s="7">
        <v>40.38</v>
      </c>
      <c r="R86" t="inlineStr">
        <is>
          <t>跌</t>
        </is>
      </c>
      <c r="S86" t="inlineStr">
        <is>
          <t>未校準：平常 +1.42% ＋ 模型超額 -6.20%</t>
        </is>
      </c>
      <c r="U86" t="inlineStr">
        <is>
          <t>無訊號</t>
        </is>
      </c>
      <c r="AA86" s="7">
        <v>4.12</v>
      </c>
      <c r="AB86" s="7">
        <v>39.38</v>
      </c>
      <c r="AC86" s="7">
        <v>32.89</v>
      </c>
      <c r="AD86" s="7">
        <v>27.73</v>
      </c>
      <c r="AE86" t="inlineStr">
        <is>
          <t>持平</t>
        </is>
      </c>
      <c r="AF86" t="inlineStr">
        <is>
          <t>沒有確切標的資料：平常 +1.42% ＋ 相似時點中位超額 +2.70%</t>
        </is>
      </c>
      <c r="AK86" t="inlineStr">
        <is>
          <t>無訊號</t>
        </is>
      </c>
      <c r="AL86" t="inlineStr">
        <is>
          <t>沒有位階資料</t>
        </is>
      </c>
      <c r="AM86" t="inlineStr">
        <is>
          <t>持平</t>
        </is>
      </c>
      <c r="AN86" s="8">
        <v>0</v>
      </c>
      <c r="AO86" s="8">
        <v>1</v>
      </c>
      <c r="AP86" s="8">
        <v>1</v>
      </c>
      <c r="AQ86" t="inlineStr">
        <is>
          <t>平手（持平 1、跌 1）</t>
        </is>
      </c>
      <c r="AR86" s="7">
        <v>33.12</v>
      </c>
      <c r="AS86" s="7">
        <v>32.82</v>
      </c>
      <c r="AT86" s="7">
        <v>34.05</v>
      </c>
      <c r="AU86" s="8">
        <v>2</v>
      </c>
      <c r="AV86" t="inlineStr">
        <is>
          <t>持平</t>
        </is>
      </c>
      <c r="AW86" s="7">
        <v>-0.33</v>
      </c>
      <c r="AX86" t="inlineStr">
        <is>
          <t>未校準集成</t>
        </is>
      </c>
      <c r="AY86" s="7">
        <v>32.89</v>
      </c>
      <c r="AZ86" s="7">
        <v>33.29</v>
      </c>
      <c r="BA86" s="7">
        <v>33.82</v>
      </c>
      <c r="BB86" t="inlineStr">
        <is>
          <t>持平</t>
        </is>
      </c>
      <c r="BC86" s="7">
        <v>-31.1</v>
      </c>
      <c r="BD86" s="7">
        <v>31.46</v>
      </c>
      <c r="BE86" s="7">
        <v>-13.97</v>
      </c>
      <c r="BF86" s="7">
        <v>5.79</v>
      </c>
      <c r="BG86" t="inlineStr">
        <is>
          <t>總經面 -4.78%（P漲 27%／P跌 40% → 跌）、產業鏈面 無訊號、歷史類比面 +4.12%（P漲 39%／P跌 28% → 持平）、位階面 無訊號；持平帶 ±11.02%（σ_h 25.62%×0.43），各面假設實際報酬是以預估值為中心、σ_h 為標準差的常態。投票 持平 1、跌 1 平手，綜合記為持平；綜合機率 P漲 33%／P跌 34%（2 面平均）→ 持平。幅度推演：預測報酬 -0.33%（P漲 33%／P跌 34% → 持平），80% 結果區間 -31.10～+31.46%。</t>
        </is>
      </c>
      <c r="BH86" t="inlineStr">
        <is>
          <t>未到期</t>
        </is>
      </c>
    </row>
    <row r="87">
      <c r="A87" t="inlineStr">
        <is>
          <t>SC-2026-09-ci_energy-H12</t>
        </is>
      </c>
      <c r="B87" t="inlineStr">
        <is>
          <t>SC-2026-09</t>
        </is>
      </c>
      <c r="C87" t="inlineStr">
        <is>
          <t>2026-10-12</t>
        </is>
      </c>
      <c r="D87" t="inlineStr">
        <is>
          <t>2026-09</t>
        </is>
      </c>
      <c r="E87" t="inlineStr">
        <is>
          <t>2026-09</t>
        </is>
      </c>
      <c r="F87" s="8">
        <v>12</v>
      </c>
      <c r="G87" t="inlineStr">
        <is>
          <t>2027-10</t>
        </is>
      </c>
      <c r="H87" t="inlineStr">
        <is>
          <t>能源指數</t>
        </is>
      </c>
      <c r="I87" t="inlineStr">
        <is>
          <t>ci_energy</t>
        </is>
      </c>
      <c r="J87" s="7">
        <v>4.91</v>
      </c>
      <c r="K87" s="7">
        <v>34.84</v>
      </c>
      <c r="L87" s="8">
        <v>368</v>
      </c>
      <c r="M87" s="7">
        <v>14.98</v>
      </c>
      <c r="N87" s="7">
        <v>21.16</v>
      </c>
      <c r="O87" s="7">
        <v>57.04</v>
      </c>
      <c r="P87" s="7">
        <v>27.98</v>
      </c>
      <c r="Q87" s="7">
        <v>14.98</v>
      </c>
      <c r="R87" t="inlineStr">
        <is>
          <t>漲</t>
        </is>
      </c>
      <c r="S87" t="inlineStr">
        <is>
          <t>未校準：平常 +4.91% ＋ 模型超額 +16.25%</t>
        </is>
      </c>
      <c r="U87" t="inlineStr">
        <is>
          <t>無訊號</t>
        </is>
      </c>
      <c r="AA87" s="7">
        <v>19.0</v>
      </c>
      <c r="AB87" s="7">
        <v>54.59</v>
      </c>
      <c r="AC87" s="7">
        <v>28.94</v>
      </c>
      <c r="AD87" s="7">
        <v>16.47</v>
      </c>
      <c r="AE87" t="inlineStr">
        <is>
          <t>漲</t>
        </is>
      </c>
      <c r="AF87" t="inlineStr">
        <is>
          <t>沒有確切標的資料：平常 +4.91% ＋ 相似時點中位超額 +14.09%</t>
        </is>
      </c>
      <c r="AK87" t="inlineStr">
        <is>
          <t>無訊號</t>
        </is>
      </c>
      <c r="AL87" t="inlineStr">
        <is>
          <t>沒有位階資料</t>
        </is>
      </c>
      <c r="AM87" t="inlineStr">
        <is>
          <t>漲</t>
        </is>
      </c>
      <c r="AN87" s="8">
        <v>2</v>
      </c>
      <c r="AO87" s="8">
        <v>0</v>
      </c>
      <c r="AP87" s="8">
        <v>0</v>
      </c>
      <c r="AQ87" t="inlineStr">
        <is>
          <t>2／2 面同向</t>
        </is>
      </c>
      <c r="AR87" s="7">
        <v>55.81</v>
      </c>
      <c r="AS87" s="7">
        <v>28.46</v>
      </c>
      <c r="AT87" s="7">
        <v>15.72</v>
      </c>
      <c r="AU87" s="8">
        <v>2</v>
      </c>
      <c r="AV87" t="inlineStr">
        <is>
          <t>漲</t>
        </is>
      </c>
      <c r="AW87" s="7">
        <v>20.08</v>
      </c>
      <c r="AX87" t="inlineStr">
        <is>
          <t>未校準集成</t>
        </is>
      </c>
      <c r="AY87" s="7">
        <v>55.82</v>
      </c>
      <c r="AZ87" s="7">
        <v>28.47</v>
      </c>
      <c r="BA87" s="7">
        <v>15.71</v>
      </c>
      <c r="BB87" t="inlineStr">
        <is>
          <t>漲</t>
        </is>
      </c>
      <c r="BC87" s="7">
        <v>-30.17</v>
      </c>
      <c r="BD87" s="7">
        <v>62.95</v>
      </c>
      <c r="BE87" s="7">
        <v>7.0</v>
      </c>
      <c r="BF87" s="7">
        <v>35.83</v>
      </c>
      <c r="BG87" t="inlineStr">
        <is>
          <t>總經面 +21.16%（P漲 57%／P跌 15% → 漲）、產業鏈面 無訊號、歷史類比面 +19.00%（P漲 55%／P跌 16% → 漲）、位階面 無訊號；持平帶 ±14.98%（σ_h 34.84%×0.43），各面假設實際報酬是以預估值為中心、σ_h 為標準差的常態。投票 漲 2，綜合判斷漲（2／2 面同向）；綜合機率 P漲 56%／P跌 16%（2 面平均）→ 漲。幅度推演：預測報酬 +20.08%（P漲 56%／P跌 16% → 漲），80% 結果區間 -30.17～+62.95%。</t>
        </is>
      </c>
      <c r="BH87" t="inlineStr">
        <is>
          <t>未到期</t>
        </is>
      </c>
    </row>
    <row r="88">
      <c r="A88" t="inlineStr">
        <is>
          <t>SC-2026-09-ci_agri-H12</t>
        </is>
      </c>
      <c r="B88" t="inlineStr">
        <is>
          <t>SC-2026-09</t>
        </is>
      </c>
      <c r="C88" t="inlineStr">
        <is>
          <t>2026-10-12</t>
        </is>
      </c>
      <c r="D88" t="inlineStr">
        <is>
          <t>2026-09</t>
        </is>
      </c>
      <c r="E88" t="inlineStr">
        <is>
          <t>2026-09</t>
        </is>
      </c>
      <c r="F88" s="8">
        <v>12</v>
      </c>
      <c r="G88" t="inlineStr">
        <is>
          <t>2027-10</t>
        </is>
      </c>
      <c r="H88" t="inlineStr">
        <is>
          <t>農產品指數</t>
        </is>
      </c>
      <c r="I88" t="inlineStr">
        <is>
          <t>ci_agri</t>
        </is>
      </c>
      <c r="J88" s="7">
        <v>1.74</v>
      </c>
      <c r="K88" s="7">
        <v>12.1</v>
      </c>
      <c r="L88" s="8">
        <v>368</v>
      </c>
      <c r="M88" s="7">
        <v>5.2</v>
      </c>
      <c r="N88" s="7">
        <v>-2.4</v>
      </c>
      <c r="O88" s="7">
        <v>26.5</v>
      </c>
      <c r="P88" s="7">
        <v>32.65</v>
      </c>
      <c r="Q88" s="7">
        <v>40.85</v>
      </c>
      <c r="R88" t="inlineStr">
        <is>
          <t>跌</t>
        </is>
      </c>
      <c r="S88" t="inlineStr">
        <is>
          <t>未校準：平常 +1.74% ＋ 模型超額 -4.14%</t>
        </is>
      </c>
      <c r="T88" s="7">
        <v>3.0</v>
      </c>
      <c r="U88" t="inlineStr">
        <is>
          <t>無訊號</t>
        </is>
      </c>
      <c r="V88" t="inlineStr">
        <is>
          <t>肥料到糧價</t>
        </is>
      </c>
      <c r="W88" t="inlineStr">
        <is>
          <t>農產品上漲</t>
        </is>
      </c>
      <c r="X88" t="inlineStr">
        <is>
          <t>fertilizer_agri</t>
        </is>
      </c>
      <c r="Y88" s="7">
        <v>43.0</v>
      </c>
      <c r="Z88" s="7">
        <v>40.0</v>
      </c>
      <c r="AA88" s="7">
        <v>-3.1</v>
      </c>
      <c r="AB88" s="7">
        <v>24.64</v>
      </c>
      <c r="AC88" s="7">
        <v>32.25</v>
      </c>
      <c r="AD88" s="7">
        <v>43.11</v>
      </c>
      <c r="AE88" t="inlineStr">
        <is>
          <t>跌</t>
        </is>
      </c>
      <c r="AF88" t="inlineStr">
        <is>
          <t>相似時點 11 段（24 個月）之後 12 個月的中位報酬</t>
        </is>
      </c>
      <c r="AK88" t="inlineStr">
        <is>
          <t>無訊號</t>
        </is>
      </c>
      <c r="AL88" t="inlineStr">
        <is>
          <t>10 年位階 94.0%（最高 20%）這一組只有 2 段（少於 3 段）</t>
        </is>
      </c>
      <c r="AM88" t="inlineStr">
        <is>
          <t>跌</t>
        </is>
      </c>
      <c r="AN88" s="8">
        <v>0</v>
      </c>
      <c r="AO88" s="8">
        <v>0</v>
      </c>
      <c r="AP88" s="8">
        <v>2</v>
      </c>
      <c r="AQ88" t="inlineStr">
        <is>
          <t>2／2 面同向</t>
        </is>
      </c>
      <c r="AR88" s="7">
        <v>25.57</v>
      </c>
      <c r="AS88" s="7">
        <v>32.45</v>
      </c>
      <c r="AT88" s="7">
        <v>41.98</v>
      </c>
      <c r="AU88" s="8">
        <v>2</v>
      </c>
      <c r="AV88" t="inlineStr">
        <is>
          <t>跌</t>
        </is>
      </c>
      <c r="AW88" s="7">
        <v>-1.77</v>
      </c>
      <c r="AX88" t="inlineStr">
        <is>
          <t>未校準集成</t>
        </is>
      </c>
      <c r="AY88" s="7">
        <v>28.23</v>
      </c>
      <c r="AZ88" s="7">
        <v>32.93</v>
      </c>
      <c r="BA88" s="7">
        <v>38.84</v>
      </c>
      <c r="BB88" t="inlineStr">
        <is>
          <t>持平</t>
        </is>
      </c>
      <c r="BC88" s="7">
        <v>-16.88</v>
      </c>
      <c r="BD88" s="7">
        <v>13.69</v>
      </c>
      <c r="BE88" s="7">
        <v>-6.06</v>
      </c>
      <c r="BF88" s="7">
        <v>2.21</v>
      </c>
      <c r="BG88" t="inlineStr">
        <is>
          <t>總經面 -2.40%（P漲 26%／P跌 41% → 跌）、產業鏈面「農產品上漲」機率 43%、平常 40%（無訊號）、歷史類比面 -3.10%（P漲 25%／P跌 43% → 跌）、位階面 無訊號；持平帶 ±5.20%（σ_h 12.10%×0.43），各面假設實際報酬是以預估值為中心、σ_h 為標準差的常態。投票 跌 2，綜合判斷跌（2／2 面同向）；綜合機率 P漲 26%／P跌 42%（2 面平均）→ 跌。幅度推演：預測報酬 -1.77%（P漲 28%／P跌 39% → 持平），80% 結果區間 -16.88～+13.69%。</t>
        </is>
      </c>
      <c r="BH88" t="inlineStr">
        <is>
          <t>未到期</t>
        </is>
      </c>
    </row>
    <row r="89">
      <c r="A89" t="inlineStr">
        <is>
          <t>SC-2026-09-ci_metals-H12</t>
        </is>
      </c>
      <c r="B89" t="inlineStr">
        <is>
          <t>SC-2026-09</t>
        </is>
      </c>
      <c r="C89" t="inlineStr">
        <is>
          <t>2026-10-12</t>
        </is>
      </c>
      <c r="D89" t="inlineStr">
        <is>
          <t>2026-09</t>
        </is>
      </c>
      <c r="E89" t="inlineStr">
        <is>
          <t>2026-09</t>
        </is>
      </c>
      <c r="F89" s="8">
        <v>12</v>
      </c>
      <c r="G89" t="inlineStr">
        <is>
          <t>2027-10</t>
        </is>
      </c>
      <c r="H89" t="inlineStr">
        <is>
          <t>金屬與礦產指數</t>
        </is>
      </c>
      <c r="I89" t="inlineStr">
        <is>
          <t>ci_metals</t>
        </is>
      </c>
      <c r="J89" s="7">
        <v>3.54</v>
      </c>
      <c r="K89" s="7">
        <v>23.58</v>
      </c>
      <c r="L89" s="8">
        <v>368</v>
      </c>
      <c r="M89" s="7">
        <v>10.14</v>
      </c>
      <c r="N89" s="7">
        <v>5.56</v>
      </c>
      <c r="O89" s="7">
        <v>42.3</v>
      </c>
      <c r="P89" s="7">
        <v>32.42</v>
      </c>
      <c r="Q89" s="7">
        <v>25.28</v>
      </c>
      <c r="R89" t="inlineStr">
        <is>
          <t>漲</t>
        </is>
      </c>
      <c r="S89" t="inlineStr">
        <is>
          <t>未校準：平常 +3.54% ＋ 模型超額 +2.02%</t>
        </is>
      </c>
      <c r="U89" t="inlineStr">
        <is>
          <t>無訊號</t>
        </is>
      </c>
      <c r="AA89" s="7">
        <v>10.03</v>
      </c>
      <c r="AB89" s="7">
        <v>49.81</v>
      </c>
      <c r="AC89" s="7">
        <v>30.57</v>
      </c>
      <c r="AD89" s="7">
        <v>19.62</v>
      </c>
      <c r="AE89" t="inlineStr">
        <is>
          <t>漲</t>
        </is>
      </c>
      <c r="AF89" t="inlineStr">
        <is>
          <t>沒有確切標的資料：平常 +3.54% ＋ 相似時點中位超額 +6.49%</t>
        </is>
      </c>
      <c r="AK89" t="inlineStr">
        <is>
          <t>無訊號</t>
        </is>
      </c>
      <c r="AL89" t="inlineStr">
        <is>
          <t>沒有位階資料</t>
        </is>
      </c>
      <c r="AM89" t="inlineStr">
        <is>
          <t>漲</t>
        </is>
      </c>
      <c r="AN89" s="8">
        <v>2</v>
      </c>
      <c r="AO89" s="8">
        <v>0</v>
      </c>
      <c r="AP89" s="8">
        <v>0</v>
      </c>
      <c r="AQ89" t="inlineStr">
        <is>
          <t>2／2 面同向</t>
        </is>
      </c>
      <c r="AR89" s="7">
        <v>46.05</v>
      </c>
      <c r="AS89" s="7">
        <v>31.5</v>
      </c>
      <c r="AT89" s="7">
        <v>22.45</v>
      </c>
      <c r="AU89" s="8">
        <v>2</v>
      </c>
      <c r="AV89" t="inlineStr">
        <is>
          <t>漲</t>
        </is>
      </c>
      <c r="AW89" s="7">
        <v>7.79</v>
      </c>
      <c r="AX89" t="inlineStr">
        <is>
          <t>未校準集成</t>
        </is>
      </c>
      <c r="AY89" s="7">
        <v>46.03</v>
      </c>
      <c r="AZ89" s="7">
        <v>31.62</v>
      </c>
      <c r="BA89" s="7">
        <v>22.35</v>
      </c>
      <c r="BB89" t="inlineStr">
        <is>
          <t>漲</t>
        </is>
      </c>
      <c r="BC89" s="7">
        <v>-17.26</v>
      </c>
      <c r="BD89" s="7">
        <v>34.01</v>
      </c>
      <c r="BE89" s="7">
        <v>-3.4</v>
      </c>
      <c r="BF89" s="7">
        <v>12.93</v>
      </c>
      <c r="BG89" t="inlineStr">
        <is>
          <t>總經面 +5.56%（P漲 42%／P跌 25% → 漲）、產業鏈面 無訊號、歷史類比面 +10.03%（P漲 50%／P跌 20% → 漲）、位階面 無訊號；持平帶 ±10.14%（σ_h 23.58%×0.43），各面假設實際報酬是以預估值為中心、σ_h 為標準差的常態。投票 漲 2，綜合判斷漲（2／2 面同向）；綜合機率 P漲 46%／P跌 22%（2 面平均）→ 漲。幅度推演：預測報酬 +7.79%（P漲 46%／P跌 22% → 漲），80% 結果區間 -17.26～+34.01%。</t>
        </is>
      </c>
      <c r="BH89" t="inlineStr">
        <is>
          <t>未到期</t>
        </is>
      </c>
    </row>
    <row r="90">
      <c r="A90" t="inlineStr">
        <is>
          <t>SC-2026-09-ci_precious-H12</t>
        </is>
      </c>
      <c r="B90" t="inlineStr">
        <is>
          <t>SC-2026-09</t>
        </is>
      </c>
      <c r="C90" t="inlineStr">
        <is>
          <t>2026-10-12</t>
        </is>
      </c>
      <c r="D90" t="inlineStr">
        <is>
          <t>2026-09</t>
        </is>
      </c>
      <c r="E90" t="inlineStr">
        <is>
          <t>2026-09</t>
        </is>
      </c>
      <c r="F90" s="8">
        <v>12</v>
      </c>
      <c r="G90" t="inlineStr">
        <is>
          <t>2027-10</t>
        </is>
      </c>
      <c r="H90" t="inlineStr">
        <is>
          <t>貴金屬指數</t>
        </is>
      </c>
      <c r="I90" t="inlineStr">
        <is>
          <t>ci_precious</t>
        </is>
      </c>
      <c r="J90" s="7">
        <v>7.98</v>
      </c>
      <c r="K90" s="7">
        <v>16.95</v>
      </c>
      <c r="L90" s="8">
        <v>368</v>
      </c>
      <c r="M90" s="7">
        <v>7.29</v>
      </c>
      <c r="N90" s="7">
        <v>0.45</v>
      </c>
      <c r="O90" s="7">
        <v>34.33</v>
      </c>
      <c r="P90" s="7">
        <v>33.27</v>
      </c>
      <c r="Q90" s="7">
        <v>32.4</v>
      </c>
      <c r="R90" t="inlineStr">
        <is>
          <t>持平</t>
        </is>
      </c>
      <c r="S90" t="inlineStr">
        <is>
          <t>未校準：平常 +7.98% ＋ 模型超額 -7.53%</t>
        </is>
      </c>
      <c r="U90" t="inlineStr">
        <is>
          <t>無訊號</t>
        </is>
      </c>
      <c r="AA90" s="7">
        <v>4.84</v>
      </c>
      <c r="AB90" s="7">
        <v>44.25</v>
      </c>
      <c r="AC90" s="7">
        <v>32.04</v>
      </c>
      <c r="AD90" s="7">
        <v>23.71</v>
      </c>
      <c r="AE90" t="inlineStr">
        <is>
          <t>漲</t>
        </is>
      </c>
      <c r="AF90" t="inlineStr">
        <is>
          <t>沒有確切標的資料：平常 +7.98% ＋ 相似時點中位超額 -3.14%</t>
        </is>
      </c>
      <c r="AK90" t="inlineStr">
        <is>
          <t>無訊號</t>
        </is>
      </c>
      <c r="AL90" t="inlineStr">
        <is>
          <t>沒有位階資料</t>
        </is>
      </c>
      <c r="AM90" t="inlineStr">
        <is>
          <t>持平</t>
        </is>
      </c>
      <c r="AN90" s="8">
        <v>1</v>
      </c>
      <c r="AO90" s="8">
        <v>1</v>
      </c>
      <c r="AP90" s="8">
        <v>0</v>
      </c>
      <c r="AQ90" t="inlineStr">
        <is>
          <t>平手（漲 1、持平 1）</t>
        </is>
      </c>
      <c r="AR90" s="7">
        <v>39.29</v>
      </c>
      <c r="AS90" s="7">
        <v>32.66</v>
      </c>
      <c r="AT90" s="7">
        <v>28.05</v>
      </c>
      <c r="AU90" s="8">
        <v>2</v>
      </c>
      <c r="AV90" t="inlineStr">
        <is>
          <t>持平</t>
        </is>
      </c>
      <c r="AW90" s="7">
        <v>2.65</v>
      </c>
      <c r="AX90" t="inlineStr">
        <is>
          <t>未校準集成</t>
        </is>
      </c>
      <c r="AY90" s="7">
        <v>39.21</v>
      </c>
      <c r="AZ90" s="7">
        <v>32.91</v>
      </c>
      <c r="BA90" s="7">
        <v>27.88</v>
      </c>
      <c r="BB90" t="inlineStr">
        <is>
          <t>持平</t>
        </is>
      </c>
      <c r="BC90" s="7">
        <v>-16.87</v>
      </c>
      <c r="BD90" s="7">
        <v>25.3</v>
      </c>
      <c r="BE90" s="7">
        <v>-3.45</v>
      </c>
      <c r="BF90" s="7">
        <v>6.66</v>
      </c>
      <c r="BG90" t="inlineStr">
        <is>
          <t>總經面 +0.45%（P漲 34%／P跌 32% → 持平）、產業鏈面 無訊號、歷史類比面 +4.84%（P漲 44%／P跌 24% → 漲）、位階面 無訊號；持平帶 ±7.29%（σ_h 16.95%×0.43），各面假設實際報酬是以預估值為中心、σ_h 為標準差的常態。投票 漲 1、持平 1 平手，綜合記為持平；綜合機率 P漲 39%／P跌 28%（2 面平均）→ 持平。幅度推演：預測報酬 +2.65%（P漲 39%／P跌 28% → 持平），80% 結果區間 -16.87～+25.30%。</t>
        </is>
      </c>
      <c r="BH90" t="inlineStr">
        <is>
          <t>未到期</t>
        </is>
      </c>
    </row>
    <row r="91">
      <c r="A91" t="inlineStr">
        <is>
          <t>SC-2026-09-fx_dxy-H12</t>
        </is>
      </c>
      <c r="B91" t="inlineStr">
        <is>
          <t>SC-2026-09</t>
        </is>
      </c>
      <c r="C91" t="inlineStr">
        <is>
          <t>2026-10-12</t>
        </is>
      </c>
      <c r="D91" t="inlineStr">
        <is>
          <t>2026-09</t>
        </is>
      </c>
      <c r="E91" t="inlineStr">
        <is>
          <t>2026-09</t>
        </is>
      </c>
      <c r="F91" s="8">
        <v>12</v>
      </c>
      <c r="G91" t="inlineStr">
        <is>
          <t>2027-09</t>
        </is>
      </c>
      <c r="H91" t="inlineStr">
        <is>
          <t>美元指數 DXY</t>
        </is>
      </c>
      <c r="I91" t="inlineStr">
        <is>
          <t>fx_dxy</t>
        </is>
      </c>
      <c r="J91" s="7">
        <v>0.55</v>
      </c>
      <c r="K91" s="7">
        <v>7.81</v>
      </c>
      <c r="L91" s="8">
        <v>369</v>
      </c>
      <c r="M91" s="7">
        <v>3.36</v>
      </c>
      <c r="N91" s="7">
        <v>3.02</v>
      </c>
      <c r="O91" s="7">
        <v>48.26</v>
      </c>
      <c r="P91" s="7">
        <v>31.04</v>
      </c>
      <c r="Q91" s="7">
        <v>20.7</v>
      </c>
      <c r="R91" t="inlineStr">
        <is>
          <t>漲</t>
        </is>
      </c>
      <c r="S91" t="inlineStr">
        <is>
          <t>未校準：平常 +0.55% ＋ 模型超額 +2.47%</t>
        </is>
      </c>
      <c r="U91" t="inlineStr">
        <is>
          <t>無訊號</t>
        </is>
      </c>
      <c r="AA91" s="7">
        <v>3.8</v>
      </c>
      <c r="AB91" s="7">
        <v>52.25</v>
      </c>
      <c r="AC91" s="7">
        <v>29.79</v>
      </c>
      <c r="AD91" s="7">
        <v>17.96</v>
      </c>
      <c r="AE91" t="inlineStr">
        <is>
          <t>漲</t>
        </is>
      </c>
      <c r="AF91" t="inlineStr">
        <is>
          <t>相似時點 11 段（24 個月）之後 12 個月的中位報酬</t>
        </is>
      </c>
      <c r="AG91" s="7">
        <v>3.3</v>
      </c>
      <c r="AH91" s="7">
        <v>49.69</v>
      </c>
      <c r="AI91" s="7">
        <v>30.62</v>
      </c>
      <c r="AJ91" s="7">
        <v>19.69</v>
      </c>
      <c r="AK91" t="inlineStr">
        <is>
          <t>漲</t>
        </is>
      </c>
      <c r="AL91" t="inlineStr">
        <is>
          <t>10 年位階 70.0%（60～80%），這一組歷史 11 段之後 12 個月的中位報酬</t>
        </is>
      </c>
      <c r="AM91" t="inlineStr">
        <is>
          <t>漲</t>
        </is>
      </c>
      <c r="AN91" s="8">
        <v>3</v>
      </c>
      <c r="AO91" s="8">
        <v>0</v>
      </c>
      <c r="AP91" s="8">
        <v>0</v>
      </c>
      <c r="AQ91" t="inlineStr">
        <is>
          <t>3／3 面同向</t>
        </is>
      </c>
      <c r="AR91" s="7">
        <v>50.07</v>
      </c>
      <c r="AS91" s="7">
        <v>30.48</v>
      </c>
      <c r="AT91" s="7">
        <v>19.45</v>
      </c>
      <c r="AU91" s="8">
        <v>3</v>
      </c>
      <c r="AV91" t="inlineStr">
        <is>
          <t>漲</t>
        </is>
      </c>
      <c r="AW91" s="7">
        <v>3.34</v>
      </c>
      <c r="AX91" t="inlineStr">
        <is>
          <t>未校準集成</t>
        </is>
      </c>
      <c r="AY91" s="7">
        <v>49.9</v>
      </c>
      <c r="AZ91" s="7">
        <v>30.55</v>
      </c>
      <c r="BA91" s="7">
        <v>19.55</v>
      </c>
      <c r="BB91" t="inlineStr">
        <is>
          <t>漲</t>
        </is>
      </c>
      <c r="BC91" s="7">
        <v>-7.05</v>
      </c>
      <c r="BD91" s="7">
        <v>13.47</v>
      </c>
      <c r="BE91" s="7">
        <v>0.23</v>
      </c>
      <c r="BF91" s="7">
        <v>5.64</v>
      </c>
      <c r="BG91" t="inlineStr">
        <is>
          <t>總經面 +3.02%（P漲 48%／P跌 21% → 漲）、產業鏈面 無訊號、歷史類比面 +3.80%（P漲 52%／P跌 18% → 漲）、位階面 +3.30%（P漲 50%／P跌 20% → 漲）；持平帶 ±3.36%（σ_h 7.81%×0.43），各面假設實際報酬是以預估值為中心、σ_h 為標準差的常態。投票 漲 3，綜合判斷漲（3／3 面同向）；綜合機率 P漲 50%／P跌 19%（3 面平均）→ 漲。幅度推演：預測報酬 +3.34%（P漲 50%／P跌 20% → 漲），80% 結果區間 -7.05～+13.47%。</t>
        </is>
      </c>
      <c r="BH91" t="inlineStr">
        <is>
          <t>未到期</t>
        </is>
      </c>
    </row>
    <row r="92">
      <c r="A92" t="inlineStr">
        <is>
          <t>SC-2026-09-fx_usdtwd-H12</t>
        </is>
      </c>
      <c r="B92" t="inlineStr">
        <is>
          <t>SC-2026-09</t>
        </is>
      </c>
      <c r="C92" t="inlineStr">
        <is>
          <t>2026-10-12</t>
        </is>
      </c>
      <c r="D92" t="inlineStr">
        <is>
          <t>2026-09</t>
        </is>
      </c>
      <c r="E92" t="inlineStr">
        <is>
          <t>2026-09</t>
        </is>
      </c>
      <c r="F92" s="8">
        <v>12</v>
      </c>
      <c r="G92" t="inlineStr">
        <is>
          <t>2027-10</t>
        </is>
      </c>
      <c r="H92" t="inlineStr">
        <is>
          <t>美元/新台幣</t>
        </is>
      </c>
      <c r="I92" t="inlineStr">
        <is>
          <t>fx_usdtwd</t>
        </is>
      </c>
      <c r="J92" s="7">
        <v>0.56</v>
      </c>
      <c r="K92" s="7">
        <v>5.79</v>
      </c>
      <c r="L92" s="8">
        <v>368</v>
      </c>
      <c r="M92" s="7">
        <v>2.49</v>
      </c>
      <c r="N92" s="7">
        <v>0.49</v>
      </c>
      <c r="O92" s="7">
        <v>36.49</v>
      </c>
      <c r="P92" s="7">
        <v>33.17</v>
      </c>
      <c r="Q92" s="7">
        <v>30.34</v>
      </c>
      <c r="R92" t="inlineStr">
        <is>
          <t>持平</t>
        </is>
      </c>
      <c r="S92" t="inlineStr">
        <is>
          <t>未校準：平常 +0.56% ＋ 模型超額 -0.07%</t>
        </is>
      </c>
      <c r="T92" s="7">
        <v>2.0</v>
      </c>
      <c r="U92" t="inlineStr">
        <is>
          <t>無訊號</t>
        </is>
      </c>
      <c r="V92" t="inlineStr">
        <is>
          <t>景氣擴張</t>
        </is>
      </c>
      <c r="W92" t="inlineStr">
        <is>
          <t>新台幣轉強</t>
        </is>
      </c>
      <c r="X92" t="inlineStr">
        <is>
          <t>cycle_twd</t>
        </is>
      </c>
      <c r="Y92" s="7">
        <v>88.0</v>
      </c>
      <c r="Z92" s="7">
        <v>86.0</v>
      </c>
      <c r="AA92" s="7">
        <v>0.6</v>
      </c>
      <c r="AB92" s="7">
        <v>37.21</v>
      </c>
      <c r="AC92" s="7">
        <v>33.11</v>
      </c>
      <c r="AD92" s="7">
        <v>29.68</v>
      </c>
      <c r="AE92" t="inlineStr">
        <is>
          <t>持平</t>
        </is>
      </c>
      <c r="AF92" t="inlineStr">
        <is>
          <t>相似時點 11 段（24 個月）之後 12 個月的中位報酬</t>
        </is>
      </c>
      <c r="AG92" s="7">
        <v>-2.9</v>
      </c>
      <c r="AH92" s="7">
        <v>17.59</v>
      </c>
      <c r="AI92" s="7">
        <v>29.59</v>
      </c>
      <c r="AJ92" s="7">
        <v>52.82</v>
      </c>
      <c r="AK92" t="inlineStr">
        <is>
          <t>跌</t>
        </is>
      </c>
      <c r="AL92" t="inlineStr">
        <is>
          <t>10 年位階 80.0%（60～80%），這一組歷史 14 段之後 12 個月的中位報酬</t>
        </is>
      </c>
      <c r="AM92" t="inlineStr">
        <is>
          <t>持平</t>
        </is>
      </c>
      <c r="AN92" s="8">
        <v>0</v>
      </c>
      <c r="AO92" s="8">
        <v>2</v>
      </c>
      <c r="AP92" s="8">
        <v>1</v>
      </c>
      <c r="AQ92" t="inlineStr">
        <is>
          <t>2／3 面同向</t>
        </is>
      </c>
      <c r="AR92" s="7">
        <v>30.43</v>
      </c>
      <c r="AS92" s="7">
        <v>31.96</v>
      </c>
      <c r="AT92" s="7">
        <v>37.61</v>
      </c>
      <c r="AU92" s="8">
        <v>3</v>
      </c>
      <c r="AV92" t="inlineStr">
        <is>
          <t>持平</t>
        </is>
      </c>
      <c r="AW92" s="7">
        <v>0.62</v>
      </c>
      <c r="AX92" t="inlineStr">
        <is>
          <t>未校準集成</t>
        </is>
      </c>
      <c r="AY92" s="7">
        <v>37.34</v>
      </c>
      <c r="AZ92" s="7">
        <v>33.1</v>
      </c>
      <c r="BA92" s="7">
        <v>29.56</v>
      </c>
      <c r="BB92" t="inlineStr">
        <is>
          <t>持平</t>
        </is>
      </c>
      <c r="BC92" s="7">
        <v>-6.25</v>
      </c>
      <c r="BD92" s="7">
        <v>7.27</v>
      </c>
      <c r="BE92" s="7">
        <v>-1.49</v>
      </c>
      <c r="BF92" s="7">
        <v>2.08</v>
      </c>
      <c r="BG92" t="inlineStr">
        <is>
          <t>總經面 +0.49%（P漲 36%／P跌 30% → 持平）、產業鏈面「新台幣轉強」機率 88%、平常 86%（無訊號）、歷史類比面 +0.60%（P漲 37%／P跌 30% → 持平）、位階面 -2.90%（P漲 18%／P跌 53% → 跌）；持平帶 ±2.49%（σ_h 5.79%×0.43），各面假設實際報酬是以預估值為中心、σ_h 為標準差的常態。投票 持平 2、跌 1，綜合判斷持平（2／3 面同向）；綜合機率 P漲 30%／P跌 38%（3 面平均）→ 持平。幅度推演：預測報酬 +0.62%（P漲 37%／P跌 30% → 持平），80% 結果區間 -6.25～+7.27%。</t>
        </is>
      </c>
      <c r="BH92" t="inlineStr">
        <is>
          <t>未到期</t>
        </is>
      </c>
    </row>
    <row r="93">
      <c r="A93" t="inlineStr">
        <is>
          <t>SC-2026-09-fx_usdjpy-H12</t>
        </is>
      </c>
      <c r="B93" t="inlineStr">
        <is>
          <t>SC-2026-09</t>
        </is>
      </c>
      <c r="C93" t="inlineStr">
        <is>
          <t>2026-10-12</t>
        </is>
      </c>
      <c r="D93" t="inlineStr">
        <is>
          <t>2026-09</t>
        </is>
      </c>
      <c r="E93" t="inlineStr">
        <is>
          <t>2026-09</t>
        </is>
      </c>
      <c r="F93" s="8">
        <v>12</v>
      </c>
      <c r="G93" t="inlineStr">
        <is>
          <t>2027-10</t>
        </is>
      </c>
      <c r="H93" t="inlineStr">
        <is>
          <t>美元/日圓</t>
        </is>
      </c>
      <c r="I93" t="inlineStr">
        <is>
          <t>fx_usdjpy</t>
        </is>
      </c>
      <c r="J93" s="7">
        <v>1.67</v>
      </c>
      <c r="K93" s="7">
        <v>10.15</v>
      </c>
      <c r="L93" s="8">
        <v>368</v>
      </c>
      <c r="M93" s="7">
        <v>4.36</v>
      </c>
      <c r="N93" s="7">
        <v>7.28</v>
      </c>
      <c r="O93" s="7">
        <v>61.32</v>
      </c>
      <c r="P93" s="7">
        <v>26.11</v>
      </c>
      <c r="Q93" s="7">
        <v>12.57</v>
      </c>
      <c r="R93" t="inlineStr">
        <is>
          <t>漲</t>
        </is>
      </c>
      <c r="S93" t="inlineStr">
        <is>
          <t>未校準：平常 +1.67% ＋ 模型超額 +5.61%</t>
        </is>
      </c>
      <c r="U93" t="inlineStr">
        <is>
          <t>無訊號</t>
        </is>
      </c>
      <c r="AA93" s="7">
        <v>5.9</v>
      </c>
      <c r="AB93" s="7">
        <v>56.03</v>
      </c>
      <c r="AC93" s="7">
        <v>28.37</v>
      </c>
      <c r="AD93" s="7">
        <v>15.6</v>
      </c>
      <c r="AE93" t="inlineStr">
        <is>
          <t>漲</t>
        </is>
      </c>
      <c r="AF93" t="inlineStr">
        <is>
          <t>相似時點 11 段（24 個月）之後 12 個月的中位報酬</t>
        </is>
      </c>
      <c r="AG93" s="7">
        <v>0.0</v>
      </c>
      <c r="AH93" s="7">
        <v>33.38</v>
      </c>
      <c r="AI93" s="7">
        <v>33.24</v>
      </c>
      <c r="AJ93" s="7">
        <v>33.38</v>
      </c>
      <c r="AK93" t="inlineStr">
        <is>
          <t>持平</t>
        </is>
      </c>
      <c r="AL93" t="inlineStr">
        <is>
          <t>10 年位階 91.0%（最高 20%），這一組歷史 9 段之後 12 個月的中位報酬</t>
        </is>
      </c>
      <c r="AM93" t="inlineStr">
        <is>
          <t>漲</t>
        </is>
      </c>
      <c r="AN93" s="8">
        <v>2</v>
      </c>
      <c r="AO93" s="8">
        <v>1</v>
      </c>
      <c r="AP93" s="8">
        <v>0</v>
      </c>
      <c r="AQ93" t="inlineStr">
        <is>
          <t>2／3 面同向</t>
        </is>
      </c>
      <c r="AR93" s="7">
        <v>50.24</v>
      </c>
      <c r="AS93" s="7">
        <v>29.24</v>
      </c>
      <c r="AT93" s="7">
        <v>20.52</v>
      </c>
      <c r="AU93" s="8">
        <v>3</v>
      </c>
      <c r="AV93" t="inlineStr">
        <is>
          <t>漲</t>
        </is>
      </c>
      <c r="AW93" s="7">
        <v>6.93</v>
      </c>
      <c r="AX93" t="inlineStr">
        <is>
          <t>未校準集成</t>
        </is>
      </c>
      <c r="AY93" s="7">
        <v>59.99</v>
      </c>
      <c r="AZ93" s="7">
        <v>26.71</v>
      </c>
      <c r="BA93" s="7">
        <v>13.3</v>
      </c>
      <c r="BB93" t="inlineStr">
        <is>
          <t>漲</t>
        </is>
      </c>
      <c r="BC93" s="7">
        <v>-6.16</v>
      </c>
      <c r="BD93" s="7">
        <v>20.22</v>
      </c>
      <c r="BE93" s="7">
        <v>3.67</v>
      </c>
      <c r="BF93" s="7">
        <v>10.24</v>
      </c>
      <c r="BG93" t="inlineStr">
        <is>
          <t>總經面 +7.28%（P漲 61%／P跌 13% → 漲）、產業鏈面 無訊號、歷史類比面 +5.90%（P漲 56%／P跌 16% → 漲）、位階面 +0.00%（P漲 33%／P跌 33% → 持平）；持平帶 ±4.36%（σ_h 10.15%×0.43），各面假設實際報酬是以預估值為中心、σ_h 為標準差的常態。投票 漲 2、持平 1，綜合判斷漲（2／3 面同向）；綜合機率 P漲 50%／P跌 21%（3 面平均）→ 漲。幅度推演：預測報酬 +6.93%（P漲 60%／P跌 13% → 漲），80% 結果區間 -6.16～+20.22%。</t>
        </is>
      </c>
      <c r="BH93" t="inlineStr">
        <is>
          <t>未到期</t>
        </is>
      </c>
    </row>
    <row r="94">
      <c r="A94" t="inlineStr">
        <is>
          <t>SC-2026-09-fx_eurusd-H12</t>
        </is>
      </c>
      <c r="B94" t="inlineStr">
        <is>
          <t>SC-2026-09</t>
        </is>
      </c>
      <c r="C94" t="inlineStr">
        <is>
          <t>2026-10-12</t>
        </is>
      </c>
      <c r="D94" t="inlineStr">
        <is>
          <t>2026-09</t>
        </is>
      </c>
      <c r="E94" t="inlineStr">
        <is>
          <t>2026-09</t>
        </is>
      </c>
      <c r="F94" s="8">
        <v>12</v>
      </c>
      <c r="G94" t="inlineStr">
        <is>
          <t>2027-10</t>
        </is>
      </c>
      <c r="H94" t="inlineStr">
        <is>
          <t>歐元/美元</t>
        </is>
      </c>
      <c r="I94" t="inlineStr">
        <is>
          <t>fx_eurusd</t>
        </is>
      </c>
      <c r="J94" s="7">
        <v>-0.39</v>
      </c>
      <c r="K94" s="7">
        <v>9.19</v>
      </c>
      <c r="L94" s="8">
        <v>368</v>
      </c>
      <c r="M94" s="7">
        <v>3.95</v>
      </c>
      <c r="N94" s="7">
        <v>-4.3</v>
      </c>
      <c r="O94" s="7">
        <v>18.47</v>
      </c>
      <c r="P94" s="7">
        <v>30.01</v>
      </c>
      <c r="Q94" s="7">
        <v>51.52</v>
      </c>
      <c r="R94" t="inlineStr">
        <is>
          <t>跌</t>
        </is>
      </c>
      <c r="S94" t="inlineStr">
        <is>
          <t>未校準：平常 -0.39% ＋ 模型超額 -3.91%</t>
        </is>
      </c>
      <c r="U94" t="inlineStr">
        <is>
          <t>無訊號</t>
        </is>
      </c>
      <c r="AA94" s="7">
        <v>-4.65</v>
      </c>
      <c r="AB94" s="7">
        <v>17.47</v>
      </c>
      <c r="AC94" s="7">
        <v>29.49</v>
      </c>
      <c r="AD94" s="7">
        <v>53.04</v>
      </c>
      <c r="AE94" t="inlineStr">
        <is>
          <t>跌</t>
        </is>
      </c>
      <c r="AF94" t="inlineStr">
        <is>
          <t>沒有確切標的資料：平常 -0.39% ＋ 相似時點中位超額 -4.26%</t>
        </is>
      </c>
      <c r="AK94" t="inlineStr">
        <is>
          <t>無訊號</t>
        </is>
      </c>
      <c r="AL94" t="inlineStr">
        <is>
          <t>沒有位階資料</t>
        </is>
      </c>
      <c r="AM94" t="inlineStr">
        <is>
          <t>跌</t>
        </is>
      </c>
      <c r="AN94" s="8">
        <v>0</v>
      </c>
      <c r="AO94" s="8">
        <v>0</v>
      </c>
      <c r="AP94" s="8">
        <v>2</v>
      </c>
      <c r="AQ94" t="inlineStr">
        <is>
          <t>2／2 面同向</t>
        </is>
      </c>
      <c r="AR94" s="7">
        <v>17.97</v>
      </c>
      <c r="AS94" s="7">
        <v>29.75</v>
      </c>
      <c r="AT94" s="7">
        <v>52.28</v>
      </c>
      <c r="AU94" s="8">
        <v>2</v>
      </c>
      <c r="AV94" t="inlineStr">
        <is>
          <t>跌</t>
        </is>
      </c>
      <c r="AW94" s="7">
        <v>-4.47</v>
      </c>
      <c r="AX94" t="inlineStr">
        <is>
          <t>未校準集成</t>
        </is>
      </c>
      <c r="AY94" s="7">
        <v>17.98</v>
      </c>
      <c r="AZ94" s="7">
        <v>29.76</v>
      </c>
      <c r="BA94" s="7">
        <v>52.26</v>
      </c>
      <c r="BB94" t="inlineStr">
        <is>
          <t>跌</t>
        </is>
      </c>
      <c r="BC94" s="7">
        <v>-16.45</v>
      </c>
      <c r="BD94" s="7">
        <v>7.32</v>
      </c>
      <c r="BE94" s="7">
        <v>-7.19</v>
      </c>
      <c r="BF94" s="7">
        <v>-0.75</v>
      </c>
      <c r="BG94" t="inlineStr">
        <is>
          <t>總經面 -4.30%（P漲 18%／P跌 52% → 跌）、產業鏈面 無訊號、歷史類比面 -4.65%（P漲 17%／P跌 53% → 跌）、位階面 無訊號；持平帶 ±3.95%（σ_h 9.19%×0.43），各面假設實際報酬是以預估值為中心、σ_h 為標準差的常態。投票 跌 2，綜合判斷跌（2／2 面同向）；綜合機率 P漲 18%／P跌 52%（2 面平均）→ 跌。幅度推演：預測報酬 -4.47%（P漲 18%／P跌 52% → 跌），80% 結果區間 -16.45～+7.32%。</t>
        </is>
      </c>
      <c r="BH94" t="inlineStr">
        <is>
          <t>未到期</t>
        </is>
      </c>
    </row>
  </sheetData>
  <autoFilter ref="A1:BY9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2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3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50" customWidth="1"/>
    <col min="33" max="33" width="12" customWidth="1"/>
  </cols>
  <sheetData>
    <row r="1">
      <c r="A1" s="1" t="inlineStr">
        <is>
          <t>推演編號</t>
        </is>
      </c>
      <c r="B1" s="1" t="inlineStr">
        <is>
          <t>批次</t>
        </is>
      </c>
      <c r="C1" s="1" t="inlineStr">
        <is>
          <t>建立日期</t>
        </is>
      </c>
      <c r="D1" s="1" t="inlineStr">
        <is>
          <t>資料月份</t>
        </is>
      </c>
      <c r="E1" s="1" t="inlineStr">
        <is>
          <t>起算月份</t>
        </is>
      </c>
      <c r="F1" s="1" t="inlineStr">
        <is>
          <t>期限（月）</t>
        </is>
      </c>
      <c r="G1" s="1" t="inlineStr">
        <is>
          <t>到期月份</t>
        </is>
      </c>
      <c r="H1" s="1" t="inlineStr">
        <is>
          <t>分組</t>
        </is>
      </c>
      <c r="I1" s="1" t="inlineStr">
        <is>
          <t>事件</t>
        </is>
      </c>
      <c r="J1" s="1" t="inlineStr">
        <is>
          <t>事件（門檻原文）</t>
        </is>
      </c>
      <c r="K1" s="1" t="inlineStr">
        <is>
          <t>觸發代碼</t>
        </is>
      </c>
      <c r="L1" s="1" t="inlineStr">
        <is>
          <t>序列代號</t>
        </is>
      </c>
      <c r="M1" s="1" t="inlineStr">
        <is>
          <t>觸發條件</t>
        </is>
      </c>
      <c r="N1" s="1" t="inlineStr">
        <is>
          <t>鏈</t>
        </is>
      </c>
      <c r="O1" s="1" t="inlineStr">
        <is>
          <t>前導事件</t>
        </is>
      </c>
      <c r="P1" s="1" t="inlineStr">
        <is>
          <t>機率%</t>
        </is>
      </c>
      <c r="Q1" s="1" t="inlineStr">
        <is>
          <t>機率依據</t>
        </is>
      </c>
      <c r="R1" s="1" t="inlineStr">
        <is>
          <t>原始機率%</t>
        </is>
      </c>
      <c r="S1" s="1" t="inlineStr">
        <is>
          <t>平常%</t>
        </is>
      </c>
      <c r="T1" s="1" t="inlineStr">
        <is>
          <t>差距（百分點）</t>
        </is>
      </c>
      <c r="U1" s="1" t="inlineStr">
        <is>
          <t>段數</t>
        </is>
      </c>
      <c r="V1" s="1" t="inlineStr">
        <is>
          <t>月數</t>
        </is>
      </c>
      <c r="W1" s="1" t="inlineStr">
        <is>
          <t>中位等待月</t>
        </is>
      </c>
      <c r="X1" s="1" t="inlineStr">
        <is>
          <t>狀態</t>
        </is>
      </c>
      <c r="Y1" s="1" t="inlineStr">
        <is>
          <t>結算日期</t>
        </is>
      </c>
      <c r="Z1" s="1" t="inlineStr">
        <is>
          <t>是否發生</t>
        </is>
      </c>
      <c r="AA1" s="1" t="inlineStr">
        <is>
          <t>發生月份</t>
        </is>
      </c>
      <c r="AB1" s="1" t="inlineStr">
        <is>
          <t>Brier</t>
        </is>
      </c>
      <c r="AC1" s="1" t="inlineStr">
        <is>
          <t>平常 Brier</t>
        </is>
      </c>
      <c r="AD1" s="1" t="inlineStr">
        <is>
          <t>前導事件到期時仍成立</t>
        </is>
      </c>
      <c r="AE1" s="1" t="inlineStr">
        <is>
          <t>問題代碼</t>
        </is>
      </c>
      <c r="AF1" s="1" t="inlineStr">
        <is>
          <t>問題出在哪</t>
        </is>
      </c>
      <c r="AG1" s="1" t="inlineStr">
        <is>
          <t>設定版本</t>
        </is>
      </c>
    </row>
    <row r="2">
      <c r="A2" t="inlineStr">
        <is>
          <t>SC-2026-09-E-carry_spx-H6</t>
        </is>
      </c>
      <c r="B2" t="inlineStr">
        <is>
          <t>SC-2026-09</t>
        </is>
      </c>
      <c r="C2" t="inlineStr">
        <is>
          <t>2026-10-12</t>
        </is>
      </c>
      <c r="D2" t="inlineStr">
        <is>
          <t>2026-09</t>
        </is>
      </c>
      <c r="E2" t="inlineStr">
        <is>
          <t>2026-09</t>
        </is>
      </c>
      <c r="F2" s="8">
        <v>6</v>
      </c>
      <c r="G2" t="inlineStr">
        <is>
          <t>2027-03</t>
        </is>
      </c>
      <c r="H2" t="inlineStr">
        <is>
          <t>比平常更不可能</t>
        </is>
      </c>
      <c r="I2" t="inlineStr">
        <is>
          <t>美股下跌</t>
        </is>
      </c>
      <c r="J2" t="inlineStr">
        <is>
          <t>S&amp;P 500 3 個月跌 ≥ 3%</t>
        </is>
      </c>
      <c r="K2" t="inlineStr">
        <is>
          <t>carry_spx</t>
        </is>
      </c>
      <c r="L2" t="inlineStr">
        <is>
          <t>eq_spx</t>
        </is>
      </c>
      <c r="M2" t="inlineStr">
        <is>
          <t>chg3 &lt;= -3.0</t>
        </is>
      </c>
      <c r="N2" t="inlineStr">
        <is>
          <t>日圓套利平倉</t>
        </is>
      </c>
      <c r="O2" t="inlineStr">
        <is>
          <t>日圓轉強</t>
        </is>
      </c>
      <c r="P2" s="7">
        <v>30.0</v>
      </c>
      <c r="Q2" t="inlineStr">
        <is>
          <t>校準後</t>
        </is>
      </c>
      <c r="R2" s="7">
        <v>23.0</v>
      </c>
      <c r="S2" s="7">
        <v>38.0</v>
      </c>
      <c r="T2" s="7">
        <v>-8.0</v>
      </c>
      <c r="U2" s="8">
        <v>25</v>
      </c>
      <c r="V2" s="8">
        <v>69</v>
      </c>
      <c r="W2" s="7">
        <v>3.0</v>
      </c>
      <c r="X2" t="inlineStr">
        <is>
          <t>未到期</t>
        </is>
      </c>
    </row>
    <row r="3">
      <c r="A3" t="inlineStr">
        <is>
          <t>SC-2026-09-E-carry_twii-H6</t>
        </is>
      </c>
      <c r="B3" t="inlineStr">
        <is>
          <t>SC-2026-09</t>
        </is>
      </c>
      <c r="C3" t="inlineStr">
        <is>
          <t>2026-10-12</t>
        </is>
      </c>
      <c r="D3" t="inlineStr">
        <is>
          <t>2026-09</t>
        </is>
      </c>
      <c r="E3" t="inlineStr">
        <is>
          <t>2026-09</t>
        </is>
      </c>
      <c r="F3" s="8">
        <v>6</v>
      </c>
      <c r="G3" t="inlineStr">
        <is>
          <t>2027-03</t>
        </is>
      </c>
      <c r="H3" t="inlineStr">
        <is>
          <t>比平常更可能</t>
        </is>
      </c>
      <c r="I3" t="inlineStr">
        <is>
          <t>台股下跌</t>
        </is>
      </c>
      <c r="J3" t="inlineStr">
        <is>
          <t>台股 3 個月跌 ≥ 5%</t>
        </is>
      </c>
      <c r="K3" t="inlineStr">
        <is>
          <t>carry_twii</t>
        </is>
      </c>
      <c r="L3" t="inlineStr">
        <is>
          <t>eq_twii</t>
        </is>
      </c>
      <c r="M3" t="inlineStr">
        <is>
          <t>chg3 &lt;= -5.0</t>
        </is>
      </c>
      <c r="N3" t="inlineStr">
        <is>
          <t>日圓套利平倉</t>
        </is>
      </c>
      <c r="O3" t="inlineStr">
        <is>
          <t>半導體股下跌</t>
        </is>
      </c>
      <c r="P3" s="7">
        <v>51.0</v>
      </c>
      <c r="Q3" t="inlineStr">
        <is>
          <t>校準後</t>
        </is>
      </c>
      <c r="R3" s="7">
        <v>61.0</v>
      </c>
      <c r="S3" s="7">
        <v>42.0</v>
      </c>
      <c r="T3" s="7">
        <v>9.0</v>
      </c>
      <c r="U3" s="8">
        <v>20</v>
      </c>
      <c r="V3" s="8">
        <v>38</v>
      </c>
      <c r="W3" s="7">
        <v>2.0</v>
      </c>
      <c r="X3" t="inlineStr">
        <is>
          <t>未到期</t>
        </is>
      </c>
    </row>
    <row r="4">
      <c r="A4" t="inlineStr">
        <is>
          <t>SC-2026-09-E-inflation_ndx-H6</t>
        </is>
      </c>
      <c r="B4" t="inlineStr">
        <is>
          <t>SC-2026-09</t>
        </is>
      </c>
      <c r="C4" t="inlineStr">
        <is>
          <t>2026-10-12</t>
        </is>
      </c>
      <c r="D4" t="inlineStr">
        <is>
          <t>2026-09</t>
        </is>
      </c>
      <c r="E4" t="inlineStr">
        <is>
          <t>2026-09</t>
        </is>
      </c>
      <c r="F4" s="8">
        <v>6</v>
      </c>
      <c r="G4" t="inlineStr">
        <is>
          <t>2027-03</t>
        </is>
      </c>
      <c r="H4" t="inlineStr">
        <is>
          <t>差距不到 5 點</t>
        </is>
      </c>
      <c r="I4" t="inlineStr">
        <is>
          <t>科技股下跌</t>
        </is>
      </c>
      <c r="J4" t="inlineStr">
        <is>
          <t>那斯達克 100 3 個月下跌 ≥ 3%</t>
        </is>
      </c>
      <c r="K4" t="inlineStr">
        <is>
          <t>inflation_ndx</t>
        </is>
      </c>
      <c r="L4" t="inlineStr">
        <is>
          <t>eq_ndx</t>
        </is>
      </c>
      <c r="M4" t="inlineStr">
        <is>
          <t>chg3 &lt;= -3.0</t>
        </is>
      </c>
      <c r="N4" t="inlineStr">
        <is>
          <t>通膨</t>
        </is>
      </c>
      <c r="O4" t="inlineStr">
        <is>
          <t>美國長期利率上升</t>
        </is>
      </c>
      <c r="P4" s="7">
        <v>45.0</v>
      </c>
      <c r="Q4" t="inlineStr">
        <is>
          <t>校準後</t>
        </is>
      </c>
      <c r="R4" s="7">
        <v>41.0</v>
      </c>
      <c r="S4" s="7">
        <v>49.0</v>
      </c>
      <c r="T4" s="7">
        <v>-4.0</v>
      </c>
      <c r="U4" s="8">
        <v>20</v>
      </c>
      <c r="V4" s="8">
        <v>73</v>
      </c>
      <c r="W4" s="7">
        <v>3.0</v>
      </c>
      <c r="X4" t="inlineStr">
        <is>
          <t>未到期</t>
        </is>
      </c>
    </row>
    <row r="5">
      <c r="A5" t="inlineStr">
        <is>
          <t>SC-2026-09-E-inflation_curve-H6</t>
        </is>
      </c>
      <c r="B5" t="inlineStr">
        <is>
          <t>SC-2026-09</t>
        </is>
      </c>
      <c r="C5" t="inlineStr">
        <is>
          <t>2026-10-12</t>
        </is>
      </c>
      <c r="D5" t="inlineStr">
        <is>
          <t>2026-09</t>
        </is>
      </c>
      <c r="E5" t="inlineStr">
        <is>
          <t>2026-09</t>
        </is>
      </c>
      <c r="F5" s="8">
        <v>6</v>
      </c>
      <c r="G5" t="inlineStr">
        <is>
          <t>2027-03</t>
        </is>
      </c>
      <c r="H5" t="inlineStr">
        <is>
          <t>差距不到 5 點</t>
        </is>
      </c>
      <c r="I5" t="inlineStr">
        <is>
          <t>美國長短期利率差距很小（0.5 個百分點以下）</t>
        </is>
      </c>
      <c r="J5" t="inlineStr">
        <is>
          <t>美債 10 年−3 個月利差 ≤ 0.5 個百分點</t>
        </is>
      </c>
      <c r="K5" t="inlineStr">
        <is>
          <t>inflation_curve</t>
        </is>
      </c>
      <c r="L5" t="inlineStr">
        <is>
          <t>d_curve</t>
        </is>
      </c>
      <c r="M5" t="inlineStr">
        <is>
          <t>level &lt;= 0.5</t>
        </is>
      </c>
      <c r="N5" t="inlineStr">
        <is>
          <t>通膨</t>
        </is>
      </c>
      <c r="O5" t="inlineStr">
        <is>
          <t>美國長期利率上升</t>
        </is>
      </c>
      <c r="P5" s="7">
        <v>19.0</v>
      </c>
      <c r="Q5" t="inlineStr">
        <is>
          <t>校準後</t>
        </is>
      </c>
      <c r="R5" s="7">
        <v>21.0</v>
      </c>
      <c r="S5" s="7">
        <v>18.0</v>
      </c>
      <c r="T5" s="7">
        <v>1.0</v>
      </c>
      <c r="U5" s="8">
        <v>16</v>
      </c>
      <c r="V5" s="8">
        <v>70</v>
      </c>
      <c r="W5" s="7">
        <v>3.0</v>
      </c>
      <c r="X5" t="inlineStr">
        <is>
          <t>未到期</t>
        </is>
      </c>
    </row>
    <row r="6">
      <c r="A6" t="inlineStr">
        <is>
          <t>SC-2026-09-E-inflation_gold-H6</t>
        </is>
      </c>
      <c r="B6" t="inlineStr">
        <is>
          <t>SC-2026-09</t>
        </is>
      </c>
      <c r="C6" t="inlineStr">
        <is>
          <t>2026-10-12</t>
        </is>
      </c>
      <c r="D6" t="inlineStr">
        <is>
          <t>2026-09</t>
        </is>
      </c>
      <c r="E6" t="inlineStr">
        <is>
          <t>2026-09</t>
        </is>
      </c>
      <c r="F6" s="8">
        <v>6</v>
      </c>
      <c r="G6" t="inlineStr">
        <is>
          <t>2027-03</t>
        </is>
      </c>
      <c r="H6" t="inlineStr">
        <is>
          <t>差距不到 5 點</t>
        </is>
      </c>
      <c r="I6" t="inlineStr">
        <is>
          <t>黃金上漲</t>
        </is>
      </c>
      <c r="J6" t="inlineStr">
        <is>
          <t>黃金 6 個月漲 ≥ 5%</t>
        </is>
      </c>
      <c r="K6" t="inlineStr">
        <is>
          <t>inflation_gold</t>
        </is>
      </c>
      <c r="L6" t="inlineStr">
        <is>
          <t>c_gold</t>
        </is>
      </c>
      <c r="M6" t="inlineStr">
        <is>
          <t>chg6 &gt;= 5.0</t>
        </is>
      </c>
      <c r="N6" t="inlineStr">
        <is>
          <t>通膨</t>
        </is>
      </c>
      <c r="O6" t="inlineStr">
        <is>
          <t>美國長期利率上升</t>
        </is>
      </c>
      <c r="P6" s="7">
        <v>50.0</v>
      </c>
      <c r="Q6" t="inlineStr">
        <is>
          <t>校準後</t>
        </is>
      </c>
      <c r="R6" s="7">
        <v>45.0</v>
      </c>
      <c r="S6" s="7">
        <v>53.0</v>
      </c>
      <c r="T6" s="7">
        <v>-3.0</v>
      </c>
      <c r="U6" s="8">
        <v>13</v>
      </c>
      <c r="V6" s="8">
        <v>58</v>
      </c>
      <c r="W6" s="7">
        <v>3.0</v>
      </c>
      <c r="X6" t="inlineStr">
        <is>
          <t>未到期</t>
        </is>
      </c>
    </row>
    <row r="7">
      <c r="A7" t="inlineStr">
        <is>
          <t>SC-2026-09-E-fertilizer_urea-H6</t>
        </is>
      </c>
      <c r="B7" t="inlineStr">
        <is>
          <t>SC-2026-09</t>
        </is>
      </c>
      <c r="C7" t="inlineStr">
        <is>
          <t>2026-10-12</t>
        </is>
      </c>
      <c r="D7" t="inlineStr">
        <is>
          <t>2026-09</t>
        </is>
      </c>
      <c r="E7" t="inlineStr">
        <is>
          <t>2026-09</t>
        </is>
      </c>
      <c r="F7" s="8">
        <v>6</v>
      </c>
      <c r="G7" t="inlineStr">
        <is>
          <t>2027-03</t>
        </is>
      </c>
      <c r="H7" t="inlineStr">
        <is>
          <t>比平常更可能</t>
        </is>
      </c>
      <c r="I7" t="inlineStr">
        <is>
          <t>肥料（尿素）大漲</t>
        </is>
      </c>
      <c r="J7" t="inlineStr">
        <is>
          <t>尿素 6 個月漲 ≥ 20%</t>
        </is>
      </c>
      <c r="K7" t="inlineStr">
        <is>
          <t>fertilizer_urea</t>
        </is>
      </c>
      <c r="L7" t="inlineStr">
        <is>
          <t>c_urea</t>
        </is>
      </c>
      <c r="M7" t="inlineStr">
        <is>
          <t>chg6 &gt;= 20.0</t>
        </is>
      </c>
      <c r="N7" t="inlineStr">
        <is>
          <t>肥料到糧價</t>
        </is>
      </c>
      <c r="O7" t="inlineStr">
        <is>
          <t>歐洲天然氣大漲</t>
        </is>
      </c>
      <c r="P7" s="7">
        <v>47.0</v>
      </c>
      <c r="Q7" t="inlineStr">
        <is>
          <t>校準後</t>
        </is>
      </c>
      <c r="R7" s="7">
        <v>71.0</v>
      </c>
      <c r="S7" s="7">
        <v>36.0</v>
      </c>
      <c r="T7" s="7">
        <v>11.0</v>
      </c>
      <c r="U7" s="8">
        <v>9</v>
      </c>
      <c r="V7" s="8">
        <v>17</v>
      </c>
      <c r="W7" s="7">
        <v>1.5</v>
      </c>
      <c r="X7" t="inlineStr">
        <is>
          <t>未到期</t>
        </is>
      </c>
    </row>
    <row r="8">
      <c r="A8" t="inlineStr">
        <is>
          <t>SC-2026-09-E-fertilizer_agri-H6</t>
        </is>
      </c>
      <c r="B8" t="inlineStr">
        <is>
          <t>SC-2026-09</t>
        </is>
      </c>
      <c r="C8" t="inlineStr">
        <is>
          <t>2026-10-12</t>
        </is>
      </c>
      <c r="D8" t="inlineStr">
        <is>
          <t>2026-09</t>
        </is>
      </c>
      <c r="E8" t="inlineStr">
        <is>
          <t>2026-09</t>
        </is>
      </c>
      <c r="F8" s="8">
        <v>6</v>
      </c>
      <c r="G8" t="inlineStr">
        <is>
          <t>2027-03</t>
        </is>
      </c>
      <c r="H8" t="inlineStr">
        <is>
          <t>比平常更可能</t>
        </is>
      </c>
      <c r="I8" t="inlineStr">
        <is>
          <t>農產品上漲</t>
        </is>
      </c>
      <c r="J8" t="inlineStr">
        <is>
          <t>農產品指數 6 個月漲 ≥ 8%</t>
        </is>
      </c>
      <c r="K8" t="inlineStr">
        <is>
          <t>fertilizer_agri</t>
        </is>
      </c>
      <c r="L8" t="inlineStr">
        <is>
          <t>ci_agri</t>
        </is>
      </c>
      <c r="M8" t="inlineStr">
        <is>
          <t>chg6 &gt;= 8.0</t>
        </is>
      </c>
      <c r="N8" t="inlineStr">
        <is>
          <t>肥料到糧價</t>
        </is>
      </c>
      <c r="O8" t="inlineStr">
        <is>
          <t>歐洲天然氣大漲</t>
        </is>
      </c>
      <c r="P8" s="7">
        <v>32.0</v>
      </c>
      <c r="Q8" t="inlineStr">
        <is>
          <t>校準後</t>
        </is>
      </c>
      <c r="R8" s="7">
        <v>45.0</v>
      </c>
      <c r="S8" s="7">
        <v>25.0</v>
      </c>
      <c r="T8" s="7">
        <v>7.0</v>
      </c>
      <c r="U8" s="8">
        <v>11</v>
      </c>
      <c r="V8" s="8">
        <v>29</v>
      </c>
      <c r="W8" s="7">
        <v>4.0</v>
      </c>
      <c r="X8" t="inlineStr">
        <is>
          <t>未到期</t>
        </is>
      </c>
    </row>
    <row r="9">
      <c r="A9" t="inlineStr">
        <is>
          <t>SC-2026-09-E-fertilizer_ust3m-H6</t>
        </is>
      </c>
      <c r="B9" t="inlineStr">
        <is>
          <t>SC-2026-09</t>
        </is>
      </c>
      <c r="C9" t="inlineStr">
        <is>
          <t>2026-10-12</t>
        </is>
      </c>
      <c r="D9" t="inlineStr">
        <is>
          <t>2026-09</t>
        </is>
      </c>
      <c r="E9" t="inlineStr">
        <is>
          <t>2026-09</t>
        </is>
      </c>
      <c r="F9" s="8">
        <v>6</v>
      </c>
      <c r="G9" t="inlineStr">
        <is>
          <t>2027-03</t>
        </is>
      </c>
      <c r="H9" t="inlineStr">
        <is>
          <t>比平常更可能</t>
        </is>
      </c>
      <c r="I9" t="inlineStr">
        <is>
          <t>美國短期利率上升（升息）</t>
        </is>
      </c>
      <c r="J9" t="inlineStr">
        <is>
          <t>美 3 個月利率 6 個月上升 ≥ 50bp</t>
        </is>
      </c>
      <c r="K9" t="inlineStr">
        <is>
          <t>fertilizer_ust3m</t>
        </is>
      </c>
      <c r="L9" t="inlineStr">
        <is>
          <t>b_us3m</t>
        </is>
      </c>
      <c r="M9" t="inlineStr">
        <is>
          <t>chg6 &gt;= 50.0</t>
        </is>
      </c>
      <c r="N9" t="inlineStr">
        <is>
          <t>肥料到糧價</t>
        </is>
      </c>
      <c r="O9" t="inlineStr">
        <is>
          <t>美國長期利率上升</t>
        </is>
      </c>
      <c r="P9" s="7">
        <v>18.0</v>
      </c>
      <c r="Q9" t="inlineStr">
        <is>
          <t>校準後</t>
        </is>
      </c>
      <c r="R9" s="7">
        <v>25.0</v>
      </c>
      <c r="S9" s="7">
        <v>12.0</v>
      </c>
      <c r="T9" s="7">
        <v>6.0</v>
      </c>
      <c r="U9" s="8">
        <v>19</v>
      </c>
      <c r="V9" s="8">
        <v>61</v>
      </c>
      <c r="W9" s="7">
        <v>3.0</v>
      </c>
      <c r="X9" t="inlineStr">
        <is>
          <t>未到期</t>
        </is>
      </c>
    </row>
    <row r="10">
      <c r="A10" t="inlineStr">
        <is>
          <t>SC-2026-09-E-cycle_sox-H6</t>
        </is>
      </c>
      <c r="B10" t="inlineStr">
        <is>
          <t>SC-2026-09</t>
        </is>
      </c>
      <c r="C10" t="inlineStr">
        <is>
          <t>2026-10-12</t>
        </is>
      </c>
      <c r="D10" t="inlineStr">
        <is>
          <t>2026-09</t>
        </is>
      </c>
      <c r="E10" t="inlineStr">
        <is>
          <t>2026-09</t>
        </is>
      </c>
      <c r="F10" s="8">
        <v>6</v>
      </c>
      <c r="G10" t="inlineStr">
        <is>
          <t>2027-03</t>
        </is>
      </c>
      <c r="H10" t="inlineStr">
        <is>
          <t>比平常更不可能</t>
        </is>
      </c>
      <c r="I10" t="inlineStr">
        <is>
          <t>半導體股大漲</t>
        </is>
      </c>
      <c r="J10" t="inlineStr">
        <is>
          <t>費城半導體 3 個月漲 ≥ 8%</t>
        </is>
      </c>
      <c r="K10" t="inlineStr">
        <is>
          <t>cycle_sox</t>
        </is>
      </c>
      <c r="L10" t="inlineStr">
        <is>
          <t>eq_sox</t>
        </is>
      </c>
      <c r="M10" t="inlineStr">
        <is>
          <t>chg3 &gt;= 8.0</t>
        </is>
      </c>
      <c r="N10" t="inlineStr">
        <is>
          <t>景氣擴張</t>
        </is>
      </c>
      <c r="O10" t="inlineStr">
        <is>
          <t>銅比黃金強（實體需求回溫）</t>
        </is>
      </c>
      <c r="P10" s="7">
        <v>71.0</v>
      </c>
      <c r="Q10" t="inlineStr">
        <is>
          <t>校準後</t>
        </is>
      </c>
      <c r="R10" s="7">
        <v>63.0</v>
      </c>
      <c r="S10" s="7">
        <v>77.0</v>
      </c>
      <c r="T10" s="7">
        <v>-6.0</v>
      </c>
      <c r="U10" s="8">
        <v>17</v>
      </c>
      <c r="V10" s="8">
        <v>41</v>
      </c>
      <c r="W10" s="7">
        <v>2.5</v>
      </c>
      <c r="X10" t="inlineStr">
        <is>
          <t>未到期</t>
        </is>
      </c>
    </row>
    <row r="11">
      <c r="A11" t="inlineStr">
        <is>
          <t>SC-2026-09-E-cycle_twii-H6</t>
        </is>
      </c>
      <c r="B11" t="inlineStr">
        <is>
          <t>SC-2026-09</t>
        </is>
      </c>
      <c r="C11" t="inlineStr">
        <is>
          <t>2026-10-12</t>
        </is>
      </c>
      <c r="D11" t="inlineStr">
        <is>
          <t>2026-09</t>
        </is>
      </c>
      <c r="E11" t="inlineStr">
        <is>
          <t>2026-09</t>
        </is>
      </c>
      <c r="F11" s="8">
        <v>6</v>
      </c>
      <c r="G11" t="inlineStr">
        <is>
          <t>2027-03</t>
        </is>
      </c>
      <c r="H11" t="inlineStr">
        <is>
          <t>差距不到 5 點</t>
        </is>
      </c>
      <c r="I11" t="inlineStr">
        <is>
          <t>台股上漲</t>
        </is>
      </c>
      <c r="J11" t="inlineStr">
        <is>
          <t>台股 3 個月漲 ≥ 5%</t>
        </is>
      </c>
      <c r="K11" t="inlineStr">
        <is>
          <t>cycle_twii</t>
        </is>
      </c>
      <c r="L11" t="inlineStr">
        <is>
          <t>eq_twii</t>
        </is>
      </c>
      <c r="M11" t="inlineStr">
        <is>
          <t>chg3 &gt;= 5.0</t>
        </is>
      </c>
      <c r="N11" t="inlineStr">
        <is>
          <t>景氣擴張</t>
        </is>
      </c>
      <c r="O11" t="inlineStr">
        <is>
          <t>銅比黃金強（實體需求回溫）</t>
        </is>
      </c>
      <c r="P11" s="7">
        <v>75.0</v>
      </c>
      <c r="Q11" t="inlineStr">
        <is>
          <t>校準後</t>
        </is>
      </c>
      <c r="R11" s="7">
        <v>80.0</v>
      </c>
      <c r="S11" s="7">
        <v>72.0</v>
      </c>
      <c r="T11" s="7">
        <v>3.0</v>
      </c>
      <c r="U11" s="8">
        <v>16</v>
      </c>
      <c r="V11" s="8">
        <v>44</v>
      </c>
      <c r="W11" s="7">
        <v>3.0</v>
      </c>
      <c r="X11" t="inlineStr">
        <is>
          <t>未到期</t>
        </is>
      </c>
    </row>
    <row r="12">
      <c r="A12" t="inlineStr">
        <is>
          <t>SC-2026-09-E-cycle_twd-H6</t>
        </is>
      </c>
      <c r="B12" t="inlineStr">
        <is>
          <t>SC-2026-09</t>
        </is>
      </c>
      <c r="C12" t="inlineStr">
        <is>
          <t>2026-10-12</t>
        </is>
      </c>
      <c r="D12" t="inlineStr">
        <is>
          <t>2026-09</t>
        </is>
      </c>
      <c r="E12" t="inlineStr">
        <is>
          <t>2026-09</t>
        </is>
      </c>
      <c r="F12" s="8">
        <v>6</v>
      </c>
      <c r="G12" t="inlineStr">
        <is>
          <t>2027-03</t>
        </is>
      </c>
      <c r="H12" t="inlineStr">
        <is>
          <t>比平常更可能</t>
        </is>
      </c>
      <c r="I12" t="inlineStr">
        <is>
          <t>新台幣轉強</t>
        </is>
      </c>
      <c r="J12" t="inlineStr">
        <is>
          <t>新台幣 3 個月升值 ≥ 1%</t>
        </is>
      </c>
      <c r="K12" t="inlineStr">
        <is>
          <t>cycle_twd</t>
        </is>
      </c>
      <c r="L12" t="inlineStr">
        <is>
          <t>fx_usdtwd</t>
        </is>
      </c>
      <c r="M12" t="inlineStr">
        <is>
          <t>chg3 &lt;= -1.0</t>
        </is>
      </c>
      <c r="N12" t="inlineStr">
        <is>
          <t>景氣擴張</t>
        </is>
      </c>
      <c r="O12" t="inlineStr">
        <is>
          <t>銅比黃金強（實體需求回溫）</t>
        </is>
      </c>
      <c r="P12" s="7">
        <v>68.0</v>
      </c>
      <c r="Q12" t="inlineStr">
        <is>
          <t>校準後</t>
        </is>
      </c>
      <c r="R12" s="7">
        <v>73.0</v>
      </c>
      <c r="S12" s="7">
        <v>63.0</v>
      </c>
      <c r="T12" s="7">
        <v>5.0</v>
      </c>
      <c r="U12" s="8">
        <v>17</v>
      </c>
      <c r="V12" s="8">
        <v>48</v>
      </c>
      <c r="W12" s="7">
        <v>3.0</v>
      </c>
      <c r="X12" t="inlineStr">
        <is>
          <t>未到期</t>
        </is>
      </c>
    </row>
    <row r="13">
      <c r="A13" t="inlineStr">
        <is>
          <t>SC-2026-09-E-cycle_hy-H6</t>
        </is>
      </c>
      <c r="B13" t="inlineStr">
        <is>
          <t>SC-2026-09</t>
        </is>
      </c>
      <c r="C13" t="inlineStr">
        <is>
          <t>2026-10-12</t>
        </is>
      </c>
      <c r="D13" t="inlineStr">
        <is>
          <t>2026-09</t>
        </is>
      </c>
      <c r="E13" t="inlineStr">
        <is>
          <t>2026-09</t>
        </is>
      </c>
      <c r="F13" s="8">
        <v>6</v>
      </c>
      <c r="G13" t="inlineStr">
        <is>
          <t>2027-03</t>
        </is>
      </c>
      <c r="H13" t="inlineStr">
        <is>
          <t>差距不到 5 點</t>
        </is>
      </c>
      <c r="I13" t="inlineStr">
        <is>
          <t>高收益債上漲（市場敢冒險）</t>
        </is>
      </c>
      <c r="J13" t="inlineStr">
        <is>
          <t>高收益債 6 個月漲 ≥ 2%</t>
        </is>
      </c>
      <c r="K13" t="inlineStr">
        <is>
          <t>cycle_hy</t>
        </is>
      </c>
      <c r="L13" t="inlineStr">
        <is>
          <t>b_hy</t>
        </is>
      </c>
      <c r="M13" t="inlineStr">
        <is>
          <t>chg6 &gt;= 2.0</t>
        </is>
      </c>
      <c r="N13" t="inlineStr">
        <is>
          <t>景氣擴張</t>
        </is>
      </c>
      <c r="O13" t="inlineStr">
        <is>
          <t>銅比黃金強（實體需求回溫）</t>
        </is>
      </c>
      <c r="P13" s="7">
        <v>74.0</v>
      </c>
      <c r="Q13" t="inlineStr">
        <is>
          <t>校準後</t>
        </is>
      </c>
      <c r="R13" s="7">
        <v>74.0</v>
      </c>
      <c r="S13" s="7">
        <v>74.0</v>
      </c>
      <c r="T13" s="7">
        <v>0.0</v>
      </c>
      <c r="U13" s="8">
        <v>9</v>
      </c>
      <c r="V13" s="8">
        <v>23</v>
      </c>
      <c r="W13" s="7">
        <v>2.0</v>
      </c>
      <c r="X13" t="inlineStr">
        <is>
          <t>未到期</t>
        </is>
      </c>
    </row>
    <row r="14">
      <c r="A14" t="inlineStr">
        <is>
          <t>SC-2026-09-E-carry_spx-H12</t>
        </is>
      </c>
      <c r="B14" t="inlineStr">
        <is>
          <t>SC-2026-09</t>
        </is>
      </c>
      <c r="C14" t="inlineStr">
        <is>
          <t>2026-10-12</t>
        </is>
      </c>
      <c r="D14" t="inlineStr">
        <is>
          <t>2026-09</t>
        </is>
      </c>
      <c r="E14" t="inlineStr">
        <is>
          <t>2026-09</t>
        </is>
      </c>
      <c r="F14" s="8">
        <v>12</v>
      </c>
      <c r="G14" t="inlineStr">
        <is>
          <t>2027-09</t>
        </is>
      </c>
      <c r="H14" t="inlineStr">
        <is>
          <t>差距不到 5 點</t>
        </is>
      </c>
      <c r="I14" t="inlineStr">
        <is>
          <t>美股下跌</t>
        </is>
      </c>
      <c r="J14" t="inlineStr">
        <is>
          <t>S&amp;P 500 3 個月跌 ≥ 3%</t>
        </is>
      </c>
      <c r="K14" t="inlineStr">
        <is>
          <t>carry_spx</t>
        </is>
      </c>
      <c r="L14" t="inlineStr">
        <is>
          <t>eq_spx</t>
        </is>
      </c>
      <c r="M14" t="inlineStr">
        <is>
          <t>chg3 &lt;= -3.0</t>
        </is>
      </c>
      <c r="N14" t="inlineStr">
        <is>
          <t>日圓套利平倉</t>
        </is>
      </c>
      <c r="O14" t="inlineStr">
        <is>
          <t>日圓轉強</t>
        </is>
      </c>
      <c r="P14" s="7">
        <v>60.0</v>
      </c>
      <c r="Q14" t="inlineStr">
        <is>
          <t>校準後</t>
        </is>
      </c>
      <c r="R14" s="7">
        <v>59.0</v>
      </c>
      <c r="S14" s="7">
        <v>62.0</v>
      </c>
      <c r="T14" s="7">
        <v>-2.0</v>
      </c>
      <c r="W14" s="7">
        <v>7.0</v>
      </c>
      <c r="X14" t="inlineStr">
        <is>
          <t>未到期</t>
        </is>
      </c>
    </row>
    <row r="15">
      <c r="A15" t="inlineStr">
        <is>
          <t>SC-2026-09-E-carry_twii-H12</t>
        </is>
      </c>
      <c r="B15" t="inlineStr">
        <is>
          <t>SC-2026-09</t>
        </is>
      </c>
      <c r="C15" t="inlineStr">
        <is>
          <t>2026-10-12</t>
        </is>
      </c>
      <c r="D15" t="inlineStr">
        <is>
          <t>2026-09</t>
        </is>
      </c>
      <c r="E15" t="inlineStr">
        <is>
          <t>2026-09</t>
        </is>
      </c>
      <c r="F15" s="8">
        <v>12</v>
      </c>
      <c r="G15" t="inlineStr">
        <is>
          <t>2027-09</t>
        </is>
      </c>
      <c r="H15" t="inlineStr">
        <is>
          <t>差距不到 5 點</t>
        </is>
      </c>
      <c r="I15" t="inlineStr">
        <is>
          <t>台股下跌</t>
        </is>
      </c>
      <c r="J15" t="inlineStr">
        <is>
          <t>台股 3 個月跌 ≥ 5%</t>
        </is>
      </c>
      <c r="K15" t="inlineStr">
        <is>
          <t>carry_twii</t>
        </is>
      </c>
      <c r="L15" t="inlineStr">
        <is>
          <t>eq_twii</t>
        </is>
      </c>
      <c r="M15" t="inlineStr">
        <is>
          <t>chg3 &lt;= -5.0</t>
        </is>
      </c>
      <c r="N15" t="inlineStr">
        <is>
          <t>日圓套利平倉</t>
        </is>
      </c>
      <c r="O15" t="inlineStr">
        <is>
          <t>半導體股下跌</t>
        </is>
      </c>
      <c r="P15" s="7">
        <v>67.0</v>
      </c>
      <c r="Q15" t="inlineStr">
        <is>
          <t>校準後</t>
        </is>
      </c>
      <c r="R15" s="7">
        <v>66.0</v>
      </c>
      <c r="S15" s="7">
        <v>69.0</v>
      </c>
      <c r="T15" s="7">
        <v>-2.0</v>
      </c>
      <c r="W15" s="7">
        <v>2.0</v>
      </c>
      <c r="X15" t="inlineStr">
        <is>
          <t>未到期</t>
        </is>
      </c>
    </row>
    <row r="16">
      <c r="A16" t="inlineStr">
        <is>
          <t>SC-2026-09-E-inflation_ndx-H12</t>
        </is>
      </c>
      <c r="B16" t="inlineStr">
        <is>
          <t>SC-2026-09</t>
        </is>
      </c>
      <c r="C16" t="inlineStr">
        <is>
          <t>2026-10-12</t>
        </is>
      </c>
      <c r="D16" t="inlineStr">
        <is>
          <t>2026-09</t>
        </is>
      </c>
      <c r="E16" t="inlineStr">
        <is>
          <t>2026-09</t>
        </is>
      </c>
      <c r="F16" s="8">
        <v>12</v>
      </c>
      <c r="G16" t="inlineStr">
        <is>
          <t>2027-09</t>
        </is>
      </c>
      <c r="H16" t="inlineStr">
        <is>
          <t>差距不到 5 點</t>
        </is>
      </c>
      <c r="I16" t="inlineStr">
        <is>
          <t>科技股下跌</t>
        </is>
      </c>
      <c r="J16" t="inlineStr">
        <is>
          <t>那斯達克 100 3 個月下跌 ≥ 3%</t>
        </is>
      </c>
      <c r="K16" t="inlineStr">
        <is>
          <t>inflation_ndx</t>
        </is>
      </c>
      <c r="L16" t="inlineStr">
        <is>
          <t>eq_ndx</t>
        </is>
      </c>
      <c r="M16" t="inlineStr">
        <is>
          <t>chg3 &lt;= -3.0</t>
        </is>
      </c>
      <c r="N16" t="inlineStr">
        <is>
          <t>通膨</t>
        </is>
      </c>
      <c r="O16" t="inlineStr">
        <is>
          <t>美國長期利率上升</t>
        </is>
      </c>
      <c r="P16" s="7">
        <v>76.0</v>
      </c>
      <c r="Q16" t="inlineStr">
        <is>
          <t>校準後</t>
        </is>
      </c>
      <c r="R16" s="7">
        <v>75.0</v>
      </c>
      <c r="S16" s="7">
        <v>76.0</v>
      </c>
      <c r="T16" s="7">
        <v>0.0</v>
      </c>
      <c r="W16" s="7">
        <v>6.0</v>
      </c>
      <c r="X16" t="inlineStr">
        <is>
          <t>未到期</t>
        </is>
      </c>
    </row>
    <row r="17">
      <c r="A17" t="inlineStr">
        <is>
          <t>SC-2026-09-E-inflation_curve-H12</t>
        </is>
      </c>
      <c r="B17" t="inlineStr">
        <is>
          <t>SC-2026-09</t>
        </is>
      </c>
      <c r="C17" t="inlineStr">
        <is>
          <t>2026-10-12</t>
        </is>
      </c>
      <c r="D17" t="inlineStr">
        <is>
          <t>2026-09</t>
        </is>
      </c>
      <c r="E17" t="inlineStr">
        <is>
          <t>2026-09</t>
        </is>
      </c>
      <c r="F17" s="8">
        <v>12</v>
      </c>
      <c r="G17" t="inlineStr">
        <is>
          <t>2027-09</t>
        </is>
      </c>
      <c r="H17" t="inlineStr">
        <is>
          <t>比平常更可能</t>
        </is>
      </c>
      <c r="I17" t="inlineStr">
        <is>
          <t>美國長短期利率差距很小（0.5 個百分點以下）</t>
        </is>
      </c>
      <c r="J17" t="inlineStr">
        <is>
          <t>美債 10 年−3 個月利差 ≤ 0.5 個百分點</t>
        </is>
      </c>
      <c r="K17" t="inlineStr">
        <is>
          <t>inflation_curve</t>
        </is>
      </c>
      <c r="L17" t="inlineStr">
        <is>
          <t>d_curve</t>
        </is>
      </c>
      <c r="M17" t="inlineStr">
        <is>
          <t>level &lt;= 0.5</t>
        </is>
      </c>
      <c r="N17" t="inlineStr">
        <is>
          <t>通膨</t>
        </is>
      </c>
      <c r="O17" t="inlineStr">
        <is>
          <t>美國長期利率上升</t>
        </is>
      </c>
      <c r="P17" s="7">
        <v>34.0</v>
      </c>
      <c r="Q17" t="inlineStr">
        <is>
          <t>校準後</t>
        </is>
      </c>
      <c r="R17" s="7">
        <v>39.0</v>
      </c>
      <c r="S17" s="7">
        <v>29.0</v>
      </c>
      <c r="T17" s="7">
        <v>5.0</v>
      </c>
      <c r="W17" s="7">
        <v>6.0</v>
      </c>
      <c r="X17" t="inlineStr">
        <is>
          <t>未到期</t>
        </is>
      </c>
    </row>
    <row r="18">
      <c r="A18" t="inlineStr">
        <is>
          <t>SC-2026-09-E-inflation_gold-H12</t>
        </is>
      </c>
      <c r="B18" t="inlineStr">
        <is>
          <t>SC-2026-09</t>
        </is>
      </c>
      <c r="C18" t="inlineStr">
        <is>
          <t>2026-10-12</t>
        </is>
      </c>
      <c r="D18" t="inlineStr">
        <is>
          <t>2026-09</t>
        </is>
      </c>
      <c r="E18" t="inlineStr">
        <is>
          <t>2026-09</t>
        </is>
      </c>
      <c r="F18" s="8">
        <v>12</v>
      </c>
      <c r="G18" t="inlineStr">
        <is>
          <t>2027-09</t>
        </is>
      </c>
      <c r="H18" t="inlineStr">
        <is>
          <t>差距不到 5 點</t>
        </is>
      </c>
      <c r="I18" t="inlineStr">
        <is>
          <t>黃金上漲</t>
        </is>
      </c>
      <c r="J18" t="inlineStr">
        <is>
          <t>黃金 6 個月漲 ≥ 5%</t>
        </is>
      </c>
      <c r="K18" t="inlineStr">
        <is>
          <t>inflation_gold</t>
        </is>
      </c>
      <c r="L18" t="inlineStr">
        <is>
          <t>c_gold</t>
        </is>
      </c>
      <c r="M18" t="inlineStr">
        <is>
          <t>chg6 &gt;= 5.0</t>
        </is>
      </c>
      <c r="N18" t="inlineStr">
        <is>
          <t>通膨</t>
        </is>
      </c>
      <c r="O18" t="inlineStr">
        <is>
          <t>美國長期利率上升</t>
        </is>
      </c>
      <c r="P18" s="7">
        <v>77.0</v>
      </c>
      <c r="Q18" t="inlineStr">
        <is>
          <t>校準後</t>
        </is>
      </c>
      <c r="R18" s="7">
        <v>81.0</v>
      </c>
      <c r="S18" s="7">
        <v>75.0</v>
      </c>
      <c r="T18" s="7">
        <v>2.0</v>
      </c>
      <c r="W18" s="7">
        <v>6.0</v>
      </c>
      <c r="X18" t="inlineStr">
        <is>
          <t>未到期</t>
        </is>
      </c>
    </row>
    <row r="19">
      <c r="A19" t="inlineStr">
        <is>
          <t>SC-2026-09-E-fertilizer_urea-H12</t>
        </is>
      </c>
      <c r="B19" t="inlineStr">
        <is>
          <t>SC-2026-09</t>
        </is>
      </c>
      <c r="C19" t="inlineStr">
        <is>
          <t>2026-10-12</t>
        </is>
      </c>
      <c r="D19" t="inlineStr">
        <is>
          <t>2026-09</t>
        </is>
      </c>
      <c r="E19" t="inlineStr">
        <is>
          <t>2026-09</t>
        </is>
      </c>
      <c r="F19" s="8">
        <v>12</v>
      </c>
      <c r="G19" t="inlineStr">
        <is>
          <t>2027-09</t>
        </is>
      </c>
      <c r="H19" t="inlineStr">
        <is>
          <t>比平常更可能</t>
        </is>
      </c>
      <c r="I19" t="inlineStr">
        <is>
          <t>肥料（尿素）大漲</t>
        </is>
      </c>
      <c r="J19" t="inlineStr">
        <is>
          <t>尿素 6 個月漲 ≥ 20%</t>
        </is>
      </c>
      <c r="K19" t="inlineStr">
        <is>
          <t>fertilizer_urea</t>
        </is>
      </c>
      <c r="L19" t="inlineStr">
        <is>
          <t>c_urea</t>
        </is>
      </c>
      <c r="M19" t="inlineStr">
        <is>
          <t>chg6 &gt;= 20.0</t>
        </is>
      </c>
      <c r="N19" t="inlineStr">
        <is>
          <t>肥料到糧價</t>
        </is>
      </c>
      <c r="O19" t="inlineStr">
        <is>
          <t>歐洲天然氣大漲</t>
        </is>
      </c>
      <c r="P19" s="7">
        <v>66.0</v>
      </c>
      <c r="Q19" t="inlineStr">
        <is>
          <t>校準後</t>
        </is>
      </c>
      <c r="R19" s="7">
        <v>82.0</v>
      </c>
      <c r="S19" s="7">
        <v>58.0</v>
      </c>
      <c r="T19" s="7">
        <v>8.0</v>
      </c>
      <c r="W19" s="7">
        <v>2.0</v>
      </c>
      <c r="X19" t="inlineStr">
        <is>
          <t>未到期</t>
        </is>
      </c>
    </row>
    <row r="20">
      <c r="A20" t="inlineStr">
        <is>
          <t>SC-2026-09-E-fertilizer_agri-H12</t>
        </is>
      </c>
      <c r="B20" t="inlineStr">
        <is>
          <t>SC-2026-09</t>
        </is>
      </c>
      <c r="C20" t="inlineStr">
        <is>
          <t>2026-10-12</t>
        </is>
      </c>
      <c r="D20" t="inlineStr">
        <is>
          <t>2026-09</t>
        </is>
      </c>
      <c r="E20" t="inlineStr">
        <is>
          <t>2026-09</t>
        </is>
      </c>
      <c r="F20" s="8">
        <v>12</v>
      </c>
      <c r="G20" t="inlineStr">
        <is>
          <t>2027-09</t>
        </is>
      </c>
      <c r="H20" t="inlineStr">
        <is>
          <t>差距不到 5 點</t>
        </is>
      </c>
      <c r="I20" t="inlineStr">
        <is>
          <t>農產品上漲</t>
        </is>
      </c>
      <c r="J20" t="inlineStr">
        <is>
          <t>農產品指數 6 個月漲 ≥ 8%</t>
        </is>
      </c>
      <c r="K20" t="inlineStr">
        <is>
          <t>fertilizer_agri</t>
        </is>
      </c>
      <c r="L20" t="inlineStr">
        <is>
          <t>ci_agri</t>
        </is>
      </c>
      <c r="M20" t="inlineStr">
        <is>
          <t>chg6 &gt;= 8.0</t>
        </is>
      </c>
      <c r="N20" t="inlineStr">
        <is>
          <t>肥料到糧價</t>
        </is>
      </c>
      <c r="O20" t="inlineStr">
        <is>
          <t>歐洲天然氣大漲</t>
        </is>
      </c>
      <c r="P20" s="7">
        <v>43.0</v>
      </c>
      <c r="Q20" t="inlineStr">
        <is>
          <t>校準後</t>
        </is>
      </c>
      <c r="R20" s="7">
        <v>50.0</v>
      </c>
      <c r="S20" s="7">
        <v>40.0</v>
      </c>
      <c r="T20" s="7">
        <v>3.0</v>
      </c>
      <c r="W20" s="7">
        <v>4.0</v>
      </c>
      <c r="X20" t="inlineStr">
        <is>
          <t>未到期</t>
        </is>
      </c>
    </row>
    <row r="21">
      <c r="A21" t="inlineStr">
        <is>
          <t>SC-2026-09-E-fertilizer_ust3m-H12</t>
        </is>
      </c>
      <c r="B21" t="inlineStr">
        <is>
          <t>SC-2026-09</t>
        </is>
      </c>
      <c r="C21" t="inlineStr">
        <is>
          <t>2026-10-12</t>
        </is>
      </c>
      <c r="D21" t="inlineStr">
        <is>
          <t>2026-09</t>
        </is>
      </c>
      <c r="E21" t="inlineStr">
        <is>
          <t>2026-09</t>
        </is>
      </c>
      <c r="F21" s="8">
        <v>12</v>
      </c>
      <c r="G21" t="inlineStr">
        <is>
          <t>2027-09</t>
        </is>
      </c>
      <c r="H21" t="inlineStr">
        <is>
          <t>比平常更可能</t>
        </is>
      </c>
      <c r="I21" t="inlineStr">
        <is>
          <t>美國短期利率上升（升息）</t>
        </is>
      </c>
      <c r="J21" t="inlineStr">
        <is>
          <t>美 3 個月利率 6 個月上升 ≥ 50bp</t>
        </is>
      </c>
      <c r="K21" t="inlineStr">
        <is>
          <t>fertilizer_ust3m</t>
        </is>
      </c>
      <c r="L21" t="inlineStr">
        <is>
          <t>b_us3m</t>
        </is>
      </c>
      <c r="M21" t="inlineStr">
        <is>
          <t>chg6 &gt;= 50.0</t>
        </is>
      </c>
      <c r="N21" t="inlineStr">
        <is>
          <t>肥料到糧價</t>
        </is>
      </c>
      <c r="O21" t="inlineStr">
        <is>
          <t>美國長期利率上升</t>
        </is>
      </c>
      <c r="P21" s="7">
        <v>30.0</v>
      </c>
      <c r="Q21" t="inlineStr">
        <is>
          <t>校準後</t>
        </is>
      </c>
      <c r="R21" s="7">
        <v>41.0</v>
      </c>
      <c r="S21" s="7">
        <v>20.0</v>
      </c>
      <c r="T21" s="7">
        <v>10.0</v>
      </c>
      <c r="W21" s="7">
        <v>5.0</v>
      </c>
      <c r="X21" t="inlineStr">
        <is>
          <t>未到期</t>
        </is>
      </c>
    </row>
    <row r="22">
      <c r="A22" t="inlineStr">
        <is>
          <t>SC-2026-09-E-cycle_sox-H12</t>
        </is>
      </c>
      <c r="B22" t="inlineStr">
        <is>
          <t>SC-2026-09</t>
        </is>
      </c>
      <c r="C22" t="inlineStr">
        <is>
          <t>2026-10-12</t>
        </is>
      </c>
      <c r="D22" t="inlineStr">
        <is>
          <t>2026-09</t>
        </is>
      </c>
      <c r="E22" t="inlineStr">
        <is>
          <t>2026-09</t>
        </is>
      </c>
      <c r="F22" s="8">
        <v>12</v>
      </c>
      <c r="G22" t="inlineStr">
        <is>
          <t>2027-09</t>
        </is>
      </c>
      <c r="H22" t="inlineStr">
        <is>
          <t>差距不到 5 點</t>
        </is>
      </c>
      <c r="I22" t="inlineStr">
        <is>
          <t>半導體股大漲</t>
        </is>
      </c>
      <c r="J22" t="inlineStr">
        <is>
          <t>費城半導體 3 個月漲 ≥ 8%</t>
        </is>
      </c>
      <c r="K22" t="inlineStr">
        <is>
          <t>cycle_sox</t>
        </is>
      </c>
      <c r="L22" t="inlineStr">
        <is>
          <t>eq_sox</t>
        </is>
      </c>
      <c r="M22" t="inlineStr">
        <is>
          <t>chg3 &gt;= 8.0</t>
        </is>
      </c>
      <c r="N22" t="inlineStr">
        <is>
          <t>景氣擴張</t>
        </is>
      </c>
      <c r="O22" t="inlineStr">
        <is>
          <t>銅比黃金強（實體需求回溫）</t>
        </is>
      </c>
      <c r="P22" s="7">
        <v>96.0</v>
      </c>
      <c r="Q22" t="inlineStr">
        <is>
          <t>校準後</t>
        </is>
      </c>
      <c r="R22" s="7">
        <v>98.0</v>
      </c>
      <c r="S22" s="7">
        <v>96.0</v>
      </c>
      <c r="T22" s="7">
        <v>0.0</v>
      </c>
      <c r="W22" s="7">
        <v>5.0</v>
      </c>
      <c r="X22" t="inlineStr">
        <is>
          <t>未到期</t>
        </is>
      </c>
    </row>
    <row r="23">
      <c r="A23" t="inlineStr">
        <is>
          <t>SC-2026-09-E-cycle_twii-H12</t>
        </is>
      </c>
      <c r="B23" t="inlineStr">
        <is>
          <t>SC-2026-09</t>
        </is>
      </c>
      <c r="C23" t="inlineStr">
        <is>
          <t>2026-10-12</t>
        </is>
      </c>
      <c r="D23" t="inlineStr">
        <is>
          <t>2026-09</t>
        </is>
      </c>
      <c r="E23" t="inlineStr">
        <is>
          <t>2026-09</t>
        </is>
      </c>
      <c r="F23" s="8">
        <v>12</v>
      </c>
      <c r="G23" t="inlineStr">
        <is>
          <t>2027-09</t>
        </is>
      </c>
      <c r="H23" t="inlineStr">
        <is>
          <t>差距不到 5 點</t>
        </is>
      </c>
      <c r="I23" t="inlineStr">
        <is>
          <t>台股上漲</t>
        </is>
      </c>
      <c r="J23" t="inlineStr">
        <is>
          <t>台股 3 個月漲 ≥ 5%</t>
        </is>
      </c>
      <c r="K23" t="inlineStr">
        <is>
          <t>cycle_twii</t>
        </is>
      </c>
      <c r="L23" t="inlineStr">
        <is>
          <t>eq_twii</t>
        </is>
      </c>
      <c r="M23" t="inlineStr">
        <is>
          <t>chg3 &gt;= 5.0</t>
        </is>
      </c>
      <c r="N23" t="inlineStr">
        <is>
          <t>景氣擴張</t>
        </is>
      </c>
      <c r="O23" t="inlineStr">
        <is>
          <t>銅比黃金強（實體需求回溫）</t>
        </is>
      </c>
      <c r="P23" s="7">
        <v>92.0</v>
      </c>
      <c r="Q23" t="inlineStr">
        <is>
          <t>校準後</t>
        </is>
      </c>
      <c r="R23" s="7">
        <v>91.0</v>
      </c>
      <c r="S23" s="7">
        <v>93.0</v>
      </c>
      <c r="T23" s="7">
        <v>-1.0</v>
      </c>
      <c r="W23" s="7">
        <v>3.0</v>
      </c>
      <c r="X23" t="inlineStr">
        <is>
          <t>未到期</t>
        </is>
      </c>
    </row>
    <row r="24">
      <c r="A24" t="inlineStr">
        <is>
          <t>SC-2026-09-E-cycle_twd-H12</t>
        </is>
      </c>
      <c r="B24" t="inlineStr">
        <is>
          <t>SC-2026-09</t>
        </is>
      </c>
      <c r="C24" t="inlineStr">
        <is>
          <t>2026-10-12</t>
        </is>
      </c>
      <c r="D24" t="inlineStr">
        <is>
          <t>2026-09</t>
        </is>
      </c>
      <c r="E24" t="inlineStr">
        <is>
          <t>2026-09</t>
        </is>
      </c>
      <c r="F24" s="8">
        <v>12</v>
      </c>
      <c r="G24" t="inlineStr">
        <is>
          <t>2027-09</t>
        </is>
      </c>
      <c r="H24" t="inlineStr">
        <is>
          <t>差距不到 5 點</t>
        </is>
      </c>
      <c r="I24" t="inlineStr">
        <is>
          <t>新台幣轉強</t>
        </is>
      </c>
      <c r="J24" t="inlineStr">
        <is>
          <t>新台幣 3 個月升值 ≥ 1%</t>
        </is>
      </c>
      <c r="K24" t="inlineStr">
        <is>
          <t>cycle_twd</t>
        </is>
      </c>
      <c r="L24" t="inlineStr">
        <is>
          <t>fx_usdtwd</t>
        </is>
      </c>
      <c r="M24" t="inlineStr">
        <is>
          <t>chg3 &lt;= -1.0</t>
        </is>
      </c>
      <c r="N24" t="inlineStr">
        <is>
          <t>景氣擴張</t>
        </is>
      </c>
      <c r="O24" t="inlineStr">
        <is>
          <t>銅比黃金強（實體需求回溫）</t>
        </is>
      </c>
      <c r="P24" s="7">
        <v>88.0</v>
      </c>
      <c r="Q24" t="inlineStr">
        <is>
          <t>校準後</t>
        </is>
      </c>
      <c r="R24" s="7">
        <v>90.0</v>
      </c>
      <c r="S24" s="7">
        <v>86.0</v>
      </c>
      <c r="T24" s="7">
        <v>2.0</v>
      </c>
      <c r="W24" s="7">
        <v>3.0</v>
      </c>
      <c r="X24" t="inlineStr">
        <is>
          <t>未到期</t>
        </is>
      </c>
    </row>
    <row r="25">
      <c r="A25" t="inlineStr">
        <is>
          <t>SC-2026-09-E-cycle_hy-H12</t>
        </is>
      </c>
      <c r="B25" t="inlineStr">
        <is>
          <t>SC-2026-09</t>
        </is>
      </c>
      <c r="C25" t="inlineStr">
        <is>
          <t>2026-10-12</t>
        </is>
      </c>
      <c r="D25" t="inlineStr">
        <is>
          <t>2026-09</t>
        </is>
      </c>
      <c r="E25" t="inlineStr">
        <is>
          <t>2026-09</t>
        </is>
      </c>
      <c r="F25" s="8">
        <v>12</v>
      </c>
      <c r="G25" t="inlineStr">
        <is>
          <t>2027-09</t>
        </is>
      </c>
      <c r="H25" t="inlineStr">
        <is>
          <t>差距不到 5 點</t>
        </is>
      </c>
      <c r="I25" t="inlineStr">
        <is>
          <t>高收益債上漲（市場敢冒險）</t>
        </is>
      </c>
      <c r="J25" t="inlineStr">
        <is>
          <t>高收益債 6 個月漲 ≥ 2%</t>
        </is>
      </c>
      <c r="K25" t="inlineStr">
        <is>
          <t>cycle_hy</t>
        </is>
      </c>
      <c r="L25" t="inlineStr">
        <is>
          <t>b_hy</t>
        </is>
      </c>
      <c r="M25" t="inlineStr">
        <is>
          <t>chg6 &gt;= 2.0</t>
        </is>
      </c>
      <c r="N25" t="inlineStr">
        <is>
          <t>景氣擴張</t>
        </is>
      </c>
      <c r="O25" t="inlineStr">
        <is>
          <t>銅比黃金強（實體需求回溫）</t>
        </is>
      </c>
      <c r="P25" s="7">
        <v>97.0</v>
      </c>
      <c r="Q25" t="inlineStr">
        <is>
          <t>校準後</t>
        </is>
      </c>
      <c r="R25" s="7">
        <v>100.0</v>
      </c>
      <c r="S25" s="7">
        <v>96.0</v>
      </c>
      <c r="T25" s="7">
        <v>1.0</v>
      </c>
      <c r="W25" s="7">
        <v>3.0</v>
      </c>
      <c r="X25" t="inlineStr">
        <is>
          <t>未到期</t>
        </is>
      </c>
    </row>
  </sheetData>
  <autoFilter ref="A1:AG2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69"/>
  <sheetViews>
    <sheetView workbookViewId="0">
      <pane xSplit="3" ySplit="1" topLeftCell="D2" activePane="bottomRight" state="frozen"/>
      <selection pane="bottomRight" activeCell="D2" sqref="D2"/>
    </sheetView>
  </sheetViews>
  <sheetFormatPr defaultRowHeight="15"/>
  <cols>
    <col min="1" max="1" width="18" customWidth="1"/>
    <col min="2" max="2" width="10" customWidth="1"/>
    <col min="3" max="3" width="3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22" customWidth="1"/>
    <col min="32" max="32" width="12" customWidth="1"/>
  </cols>
  <sheetData>
    <row r="1">
      <c r="A1" s="1" t="inlineStr">
        <is>
          <t>區塊</t>
        </is>
      </c>
      <c r="B1" s="1" t="inlineStr">
        <is>
          <t>期間</t>
        </is>
      </c>
      <c r="C1" s="1" t="inlineStr">
        <is>
          <t>對象</t>
        </is>
      </c>
      <c r="D1" s="1" t="inlineStr">
        <is>
          <t>判定數／次數</t>
        </is>
      </c>
      <c r="E1" s="1" t="inlineStr">
        <is>
          <t>命中數</t>
        </is>
      </c>
      <c r="F1" s="1" t="inlineStr">
        <is>
          <t>命中率%</t>
        </is>
      </c>
      <c r="G1" s="1" t="inlineStr">
        <is>
          <t>三類隨機基準%</t>
        </is>
      </c>
      <c r="H1" s="1" t="inlineStr">
        <is>
          <t>最常見類別基準%</t>
        </is>
      </c>
      <c r="I1" s="1" t="inlineStr">
        <is>
          <t>命中率減最常見類別（百分點）</t>
        </is>
      </c>
      <c r="J1" s="1" t="inlineStr">
        <is>
          <t>預測漲→實際漲</t>
        </is>
      </c>
      <c r="K1" s="1" t="inlineStr">
        <is>
          <t>預測漲→實際持平</t>
        </is>
      </c>
      <c r="L1" s="1" t="inlineStr">
        <is>
          <t>預測漲→實際跌</t>
        </is>
      </c>
      <c r="M1" s="1" t="inlineStr">
        <is>
          <t>預測持平→實際漲</t>
        </is>
      </c>
      <c r="N1" s="1" t="inlineStr">
        <is>
          <t>預測持平→實際持平</t>
        </is>
      </c>
      <c r="O1" s="1" t="inlineStr">
        <is>
          <t>預測持平→實際跌</t>
        </is>
      </c>
      <c r="P1" s="1" t="inlineStr">
        <is>
          <t>預測跌→實際漲</t>
        </is>
      </c>
      <c r="Q1" s="1" t="inlineStr">
        <is>
          <t>預測跌→實際持平</t>
        </is>
      </c>
      <c r="R1" s="1" t="inlineStr">
        <is>
          <t>預測跌→實際跌</t>
        </is>
      </c>
      <c r="S1" s="1" t="inlineStr">
        <is>
          <t>平均幅度誤差（百分點）</t>
        </is>
      </c>
      <c r="T1" s="1" t="inlineStr">
        <is>
          <t>平均絕對誤差（百分點）</t>
        </is>
      </c>
      <c r="U1" s="1" t="inlineStr">
        <is>
          <t>落在 80% 結果區間比例%</t>
        </is>
      </c>
      <c r="V1" s="1" t="inlineStr">
        <is>
          <t>多類 Brier（平均）</t>
        </is>
      </c>
      <c r="W1" s="1" t="inlineStr">
        <is>
          <t>三類各 1/3 基準 Brier</t>
        </is>
      </c>
      <c r="X1" s="1" t="inlineStr">
        <is>
          <t>事件發生率%</t>
        </is>
      </c>
      <c r="Y1" s="1" t="inlineStr">
        <is>
          <t>平均機率%</t>
        </is>
      </c>
      <c r="Z1" s="1" t="inlineStr">
        <is>
          <t>平均 Brier</t>
        </is>
      </c>
      <c r="AA1" s="1" t="inlineStr">
        <is>
          <t>平常 Brier</t>
        </is>
      </c>
      <c r="AB1" s="1" t="inlineStr">
        <is>
          <t>技巧分數（1−Brier÷平常 Brier）</t>
        </is>
      </c>
      <c r="AC1" s="1" t="inlineStr">
        <is>
          <t>已建立列數</t>
        </is>
      </c>
      <c r="AD1" s="1" t="inlineStr">
        <is>
          <t>已結算列數</t>
        </is>
      </c>
      <c r="AE1" s="1" t="inlineStr">
        <is>
          <t>提醒</t>
        </is>
      </c>
      <c r="AF1" s="1" t="inlineStr">
        <is>
          <t>設定版本</t>
        </is>
      </c>
    </row>
    <row r="2">
      <c r="A2" t="inlineStr">
        <is>
          <t>資產推演</t>
        </is>
      </c>
      <c r="B2" t="inlineStr">
        <is>
          <t>3 個月</t>
        </is>
      </c>
      <c r="C2" t="inlineStr">
        <is>
          <t>綜合判斷（投票）</t>
        </is>
      </c>
      <c r="D2">
        <v>0</v>
      </c>
      <c r="E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AC2">
        <v>31</v>
      </c>
      <c r="AD2">
        <v>0</v>
      </c>
      <c r="AE2" t="inlineStr">
        <is>
          <t>判定數 &lt; 30 勿過度解讀</t>
        </is>
      </c>
      <c r="AF2" t="inlineStr">
        <is>
          <t>全部</t>
        </is>
      </c>
    </row>
    <row r="3">
      <c r="A3" t="inlineStr">
        <is>
          <t>資產推演</t>
        </is>
      </c>
      <c r="B3" t="inlineStr">
        <is>
          <t>3 個月</t>
        </is>
      </c>
      <c r="C3" t="inlineStr">
        <is>
          <t>綜合機率判斷</t>
        </is>
      </c>
      <c r="D3">
        <v>0</v>
      </c>
      <c r="E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AC3">
        <v>31</v>
      </c>
      <c r="AD3">
        <v>0</v>
      </c>
      <c r="AE3" t="inlineStr">
        <is>
          <t>判定數 &lt; 30 勿過度解讀</t>
        </is>
      </c>
      <c r="AF3" t="inlineStr">
        <is>
          <t>全部</t>
        </is>
      </c>
    </row>
    <row r="4">
      <c r="A4" t="inlineStr">
        <is>
          <t>資產推演</t>
        </is>
      </c>
      <c r="B4" t="inlineStr">
        <is>
          <t>3 個月</t>
        </is>
      </c>
      <c r="C4" t="inlineStr">
        <is>
          <t>總經面</t>
        </is>
      </c>
      <c r="D4">
        <v>0</v>
      </c>
      <c r="E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AC4">
        <v>31</v>
      </c>
      <c r="AD4">
        <v>0</v>
      </c>
      <c r="AE4" t="inlineStr">
        <is>
          <t>判定數 &lt; 30 勿過度解讀</t>
        </is>
      </c>
      <c r="AF4" t="inlineStr">
        <is>
          <t>全部</t>
        </is>
      </c>
    </row>
    <row r="5">
      <c r="A5" t="inlineStr">
        <is>
          <t>資產推演</t>
        </is>
      </c>
      <c r="B5" t="inlineStr">
        <is>
          <t>3 個月</t>
        </is>
      </c>
      <c r="C5" t="inlineStr">
        <is>
          <t>產業鏈面</t>
        </is>
      </c>
      <c r="D5">
        <v>0</v>
      </c>
      <c r="E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AC5">
        <v>31</v>
      </c>
      <c r="AD5">
        <v>0</v>
      </c>
      <c r="AE5" t="inlineStr">
        <is>
          <t>判定數 &lt; 30 勿過度解讀</t>
        </is>
      </c>
      <c r="AF5" t="inlineStr">
        <is>
          <t>全部</t>
        </is>
      </c>
    </row>
    <row r="6">
      <c r="A6" t="inlineStr">
        <is>
          <t>資產推演</t>
        </is>
      </c>
      <c r="B6" t="inlineStr">
        <is>
          <t>3 個月</t>
        </is>
      </c>
      <c r="C6" t="inlineStr">
        <is>
          <t>歷史類比面</t>
        </is>
      </c>
      <c r="D6">
        <v>0</v>
      </c>
      <c r="E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AC6">
        <v>31</v>
      </c>
      <c r="AD6">
        <v>0</v>
      </c>
      <c r="AE6" t="inlineStr">
        <is>
          <t>判定數 &lt; 30 勿過度解讀</t>
        </is>
      </c>
      <c r="AF6" t="inlineStr">
        <is>
          <t>全部</t>
        </is>
      </c>
    </row>
    <row r="7">
      <c r="A7" t="inlineStr">
        <is>
          <t>資產推演</t>
        </is>
      </c>
      <c r="B7" t="inlineStr">
        <is>
          <t>3 個月</t>
        </is>
      </c>
      <c r="C7" t="inlineStr">
        <is>
          <t>位階面</t>
        </is>
      </c>
      <c r="D7">
        <v>0</v>
      </c>
      <c r="E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AC7">
        <v>31</v>
      </c>
      <c r="AD7">
        <v>0</v>
      </c>
      <c r="AE7" t="inlineStr">
        <is>
          <t>判定數 &lt; 30 勿過度解讀</t>
        </is>
      </c>
      <c r="AF7" t="inlineStr">
        <is>
          <t>全部</t>
        </is>
      </c>
    </row>
    <row r="8">
      <c r="A8" t="inlineStr">
        <is>
          <t>資產推演</t>
        </is>
      </c>
      <c r="B8" t="inlineStr">
        <is>
          <t>3 個月</t>
        </is>
      </c>
      <c r="C8" t="inlineStr">
        <is>
          <t>幅度推演</t>
        </is>
      </c>
      <c r="D8">
        <v>0</v>
      </c>
      <c r="E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AC8">
        <v>31</v>
      </c>
      <c r="AD8">
        <v>0</v>
      </c>
      <c r="AE8" t="inlineStr">
        <is>
          <t>判定數 &lt; 30 勿過度解讀</t>
        </is>
      </c>
      <c r="AF8" t="inlineStr">
        <is>
          <t>全部</t>
        </is>
      </c>
    </row>
    <row r="9">
      <c r="A9" t="inlineStr">
        <is>
          <t>資產推演</t>
        </is>
      </c>
      <c r="B9" t="inlineStr">
        <is>
          <t>6 個月</t>
        </is>
      </c>
      <c r="C9" t="inlineStr">
        <is>
          <t>綜合判斷（投票）</t>
        </is>
      </c>
      <c r="D9">
        <v>0</v>
      </c>
      <c r="E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AC9">
        <v>31</v>
      </c>
      <c r="AD9">
        <v>0</v>
      </c>
      <c r="AE9" t="inlineStr">
        <is>
          <t>判定數 &lt; 30 勿過度解讀</t>
        </is>
      </c>
      <c r="AF9" t="inlineStr">
        <is>
          <t>全部</t>
        </is>
      </c>
    </row>
    <row r="10">
      <c r="A10" t="inlineStr">
        <is>
          <t>資產推演</t>
        </is>
      </c>
      <c r="B10" t="inlineStr">
        <is>
          <t>6 個月</t>
        </is>
      </c>
      <c r="C10" t="inlineStr">
        <is>
          <t>綜合機率判斷</t>
        </is>
      </c>
      <c r="D10">
        <v>0</v>
      </c>
      <c r="E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AC10">
        <v>31</v>
      </c>
      <c r="AD10">
        <v>0</v>
      </c>
      <c r="AE10" t="inlineStr">
        <is>
          <t>判定數 &lt; 30 勿過度解讀</t>
        </is>
      </c>
      <c r="AF10" t="inlineStr">
        <is>
          <t>全部</t>
        </is>
      </c>
    </row>
    <row r="11">
      <c r="A11" t="inlineStr">
        <is>
          <t>資產推演</t>
        </is>
      </c>
      <c r="B11" t="inlineStr">
        <is>
          <t>6 個月</t>
        </is>
      </c>
      <c r="C11" t="inlineStr">
        <is>
          <t>總經面</t>
        </is>
      </c>
      <c r="D11">
        <v>0</v>
      </c>
      <c r="E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AC11">
        <v>31</v>
      </c>
      <c r="AD11">
        <v>0</v>
      </c>
      <c r="AE11" t="inlineStr">
        <is>
          <t>判定數 &lt; 30 勿過度解讀</t>
        </is>
      </c>
      <c r="AF11" t="inlineStr">
        <is>
          <t>全部</t>
        </is>
      </c>
    </row>
    <row r="12">
      <c r="A12" t="inlineStr">
        <is>
          <t>資產推演</t>
        </is>
      </c>
      <c r="B12" t="inlineStr">
        <is>
          <t>6 個月</t>
        </is>
      </c>
      <c r="C12" t="inlineStr">
        <is>
          <t>產業鏈面</t>
        </is>
      </c>
      <c r="D12">
        <v>0</v>
      </c>
      <c r="E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AC12">
        <v>31</v>
      </c>
      <c r="AD12">
        <v>0</v>
      </c>
      <c r="AE12" t="inlineStr">
        <is>
          <t>判定數 &lt; 30 勿過度解讀</t>
        </is>
      </c>
      <c r="AF12" t="inlineStr">
        <is>
          <t>全部</t>
        </is>
      </c>
    </row>
    <row r="13">
      <c r="A13" t="inlineStr">
        <is>
          <t>資產推演</t>
        </is>
      </c>
      <c r="B13" t="inlineStr">
        <is>
          <t>6 個月</t>
        </is>
      </c>
      <c r="C13" t="inlineStr">
        <is>
          <t>歷史類比面</t>
        </is>
      </c>
      <c r="D13">
        <v>0</v>
      </c>
      <c r="E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AC13">
        <v>31</v>
      </c>
      <c r="AD13">
        <v>0</v>
      </c>
      <c r="AE13" t="inlineStr">
        <is>
          <t>判定數 &lt; 30 勿過度解讀</t>
        </is>
      </c>
      <c r="AF13" t="inlineStr">
        <is>
          <t>全部</t>
        </is>
      </c>
    </row>
    <row r="14">
      <c r="A14" t="inlineStr">
        <is>
          <t>資產推演</t>
        </is>
      </c>
      <c r="B14" t="inlineStr">
        <is>
          <t>6 個月</t>
        </is>
      </c>
      <c r="C14" t="inlineStr">
        <is>
          <t>位階面</t>
        </is>
      </c>
      <c r="D14">
        <v>0</v>
      </c>
      <c r="E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AC14">
        <v>31</v>
      </c>
      <c r="AD14">
        <v>0</v>
      </c>
      <c r="AE14" t="inlineStr">
        <is>
          <t>判定數 &lt; 30 勿過度解讀</t>
        </is>
      </c>
      <c r="AF14" t="inlineStr">
        <is>
          <t>全部</t>
        </is>
      </c>
    </row>
    <row r="15">
      <c r="A15" t="inlineStr">
        <is>
          <t>資產推演</t>
        </is>
      </c>
      <c r="B15" t="inlineStr">
        <is>
          <t>6 個月</t>
        </is>
      </c>
      <c r="C15" t="inlineStr">
        <is>
          <t>幅度推演</t>
        </is>
      </c>
      <c r="D15">
        <v>0</v>
      </c>
      <c r="E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AC15">
        <v>31</v>
      </c>
      <c r="AD15">
        <v>0</v>
      </c>
      <c r="AE15" t="inlineStr">
        <is>
          <t>判定數 &lt; 30 勿過度解讀</t>
        </is>
      </c>
      <c r="AF15" t="inlineStr">
        <is>
          <t>全部</t>
        </is>
      </c>
    </row>
    <row r="16">
      <c r="A16" t="inlineStr">
        <is>
          <t>資產推演</t>
        </is>
      </c>
      <c r="B16" t="inlineStr">
        <is>
          <t>12 個月</t>
        </is>
      </c>
      <c r="C16" t="inlineStr">
        <is>
          <t>綜合判斷（投票）</t>
        </is>
      </c>
      <c r="D16">
        <v>0</v>
      </c>
      <c r="E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AC16">
        <v>31</v>
      </c>
      <c r="AD16">
        <v>0</v>
      </c>
      <c r="AE16" t="inlineStr">
        <is>
          <t>判定數 &lt; 30 勿過度解讀</t>
        </is>
      </c>
      <c r="AF16" t="inlineStr">
        <is>
          <t>全部</t>
        </is>
      </c>
    </row>
    <row r="17">
      <c r="A17" t="inlineStr">
        <is>
          <t>資產推演</t>
        </is>
      </c>
      <c r="B17" t="inlineStr">
        <is>
          <t>12 個月</t>
        </is>
      </c>
      <c r="C17" t="inlineStr">
        <is>
          <t>綜合機率判斷</t>
        </is>
      </c>
      <c r="D17">
        <v>0</v>
      </c>
      <c r="E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AC17">
        <v>31</v>
      </c>
      <c r="AD17">
        <v>0</v>
      </c>
      <c r="AE17" t="inlineStr">
        <is>
          <t>判定數 &lt; 30 勿過度解讀</t>
        </is>
      </c>
      <c r="AF17" t="inlineStr">
        <is>
          <t>全部</t>
        </is>
      </c>
    </row>
    <row r="18">
      <c r="A18" t="inlineStr">
        <is>
          <t>資產推演</t>
        </is>
      </c>
      <c r="B18" t="inlineStr">
        <is>
          <t>12 個月</t>
        </is>
      </c>
      <c r="C18" t="inlineStr">
        <is>
          <t>總經面</t>
        </is>
      </c>
      <c r="D18">
        <v>0</v>
      </c>
      <c r="E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AC18">
        <v>31</v>
      </c>
      <c r="AD18">
        <v>0</v>
      </c>
      <c r="AE18" t="inlineStr">
        <is>
          <t>判定數 &lt; 30 勿過度解讀</t>
        </is>
      </c>
      <c r="AF18" t="inlineStr">
        <is>
          <t>全部</t>
        </is>
      </c>
    </row>
    <row r="19">
      <c r="A19" t="inlineStr">
        <is>
          <t>資產推演</t>
        </is>
      </c>
      <c r="B19" t="inlineStr">
        <is>
          <t>12 個月</t>
        </is>
      </c>
      <c r="C19" t="inlineStr">
        <is>
          <t>產業鏈面</t>
        </is>
      </c>
      <c r="D19">
        <v>0</v>
      </c>
      <c r="E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AC19">
        <v>31</v>
      </c>
      <c r="AD19">
        <v>0</v>
      </c>
      <c r="AE19" t="inlineStr">
        <is>
          <t>判定數 &lt; 30 勿過度解讀</t>
        </is>
      </c>
      <c r="AF19" t="inlineStr">
        <is>
          <t>全部</t>
        </is>
      </c>
    </row>
    <row r="20">
      <c r="A20" t="inlineStr">
        <is>
          <t>資產推演</t>
        </is>
      </c>
      <c r="B20" t="inlineStr">
        <is>
          <t>12 個月</t>
        </is>
      </c>
      <c r="C20" t="inlineStr">
        <is>
          <t>歷史類比面</t>
        </is>
      </c>
      <c r="D20">
        <v>0</v>
      </c>
      <c r="E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AC20">
        <v>31</v>
      </c>
      <c r="AD20">
        <v>0</v>
      </c>
      <c r="AE20" t="inlineStr">
        <is>
          <t>判定數 &lt; 30 勿過度解讀</t>
        </is>
      </c>
      <c r="AF20" t="inlineStr">
        <is>
          <t>全部</t>
        </is>
      </c>
    </row>
    <row r="21">
      <c r="A21" t="inlineStr">
        <is>
          <t>資產推演</t>
        </is>
      </c>
      <c r="B21" t="inlineStr">
        <is>
          <t>12 個月</t>
        </is>
      </c>
      <c r="C21" t="inlineStr">
        <is>
          <t>位階面</t>
        </is>
      </c>
      <c r="D21">
        <v>0</v>
      </c>
      <c r="E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AC21">
        <v>31</v>
      </c>
      <c r="AD21">
        <v>0</v>
      </c>
      <c r="AE21" t="inlineStr">
        <is>
          <t>判定數 &lt; 30 勿過度解讀</t>
        </is>
      </c>
      <c r="AF21" t="inlineStr">
        <is>
          <t>全部</t>
        </is>
      </c>
    </row>
    <row r="22">
      <c r="A22" t="inlineStr">
        <is>
          <t>資產推演</t>
        </is>
      </c>
      <c r="B22" t="inlineStr">
        <is>
          <t>12 個月</t>
        </is>
      </c>
      <c r="C22" t="inlineStr">
        <is>
          <t>幅度推演</t>
        </is>
      </c>
      <c r="D22">
        <v>0</v>
      </c>
      <c r="E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AC22">
        <v>31</v>
      </c>
      <c r="AD22">
        <v>0</v>
      </c>
      <c r="AE22" t="inlineStr">
        <is>
          <t>判定數 &lt; 30 勿過度解讀</t>
        </is>
      </c>
      <c r="AF22" t="inlineStr">
        <is>
          <t>全部</t>
        </is>
      </c>
    </row>
    <row r="23">
      <c r="A23" t="inlineStr">
        <is>
          <t>事件推演</t>
        </is>
      </c>
      <c r="B23" t="inlineStr">
        <is>
          <t>6 個月</t>
        </is>
      </c>
      <c r="C23" t="inlineStr">
        <is>
          <t>事件（比平常更可能／更不可能才判對錯）</t>
        </is>
      </c>
      <c r="D23">
        <v>0</v>
      </c>
      <c r="E23">
        <v>0</v>
      </c>
      <c r="AC23">
        <v>12</v>
      </c>
      <c r="AD23">
        <v>0</v>
      </c>
      <c r="AE23" t="inlineStr">
        <is>
          <t>判定數 &lt; 30 勿過度解讀</t>
        </is>
      </c>
      <c r="AF23" t="inlineStr">
        <is>
          <t>全部</t>
        </is>
      </c>
    </row>
    <row r="24">
      <c r="A24" t="inlineStr">
        <is>
          <t>事件推演</t>
        </is>
      </c>
      <c r="B24" t="inlineStr">
        <is>
          <t>12 個月</t>
        </is>
      </c>
      <c r="C24" t="inlineStr">
        <is>
          <t>事件（比平常更可能／更不可能才判對錯）</t>
        </is>
      </c>
      <c r="D24">
        <v>0</v>
      </c>
      <c r="E24">
        <v>0</v>
      </c>
      <c r="AC24">
        <v>12</v>
      </c>
      <c r="AD24">
        <v>0</v>
      </c>
      <c r="AE24" t="inlineStr">
        <is>
          <t>判定數 &lt; 30 勿過度解讀</t>
        </is>
      </c>
      <c r="AF24" t="inlineStr">
        <is>
          <t>全部</t>
        </is>
      </c>
    </row>
    <row r="25">
      <c r="A25" t="inlineStr">
        <is>
          <t>問題代碼（資產推演）</t>
        </is>
      </c>
      <c r="B25" t="inlineStr">
        <is>
          <t>全部</t>
        </is>
      </c>
      <c r="C25" t="inlineStr">
        <is>
          <t>OK：綜合判斷對</t>
        </is>
      </c>
      <c r="D25">
        <v>0</v>
      </c>
      <c r="AD25">
        <v>0</v>
      </c>
      <c r="AF25" t="inlineStr">
        <is>
          <t>全部</t>
        </is>
      </c>
    </row>
    <row r="26">
      <c r="A26" t="inlineStr">
        <is>
          <t>問題代碼（資產推演）</t>
        </is>
      </c>
      <c r="B26" t="inlineStr">
        <is>
          <t>全部</t>
        </is>
      </c>
      <c r="C26" t="inlineStr">
        <is>
          <t>FACE_SPLIT：綜合判斷錯，但有面判對（投票方式或權重的問題）</t>
        </is>
      </c>
      <c r="D26">
        <v>0</v>
      </c>
      <c r="AD26">
        <v>0</v>
      </c>
      <c r="AF26" t="inlineStr">
        <is>
          <t>全部</t>
        </is>
      </c>
    </row>
    <row r="27">
      <c r="A27" t="inlineStr">
        <is>
          <t>問題代碼（資產推演）</t>
        </is>
      </c>
      <c r="B27" t="inlineStr">
        <is>
          <t>全部</t>
        </is>
      </c>
      <c r="C27" t="inlineStr">
        <is>
          <t>ALL_WRONG：有訊號的面全部判錯（四面都沒看到；四面都沒有訊號時也算）</t>
        </is>
      </c>
      <c r="D27">
        <v>0</v>
      </c>
      <c r="AD27">
        <v>0</v>
      </c>
      <c r="AF27" t="inlineStr">
        <is>
          <t>全部</t>
        </is>
      </c>
    </row>
    <row r="28">
      <c r="A28" t="inlineStr">
        <is>
          <t>問題代碼（資產推演）</t>
        </is>
      </c>
      <c r="B28" t="inlineStr">
        <is>
          <t>全部</t>
        </is>
      </c>
      <c r="C28" t="inlineStr">
        <is>
          <t>CHAIN_BROKEN：產業鏈面判錯，且它依賴的事件到期時沒有發生（傳導鏈在那一步斷了）</t>
        </is>
      </c>
      <c r="D28">
        <v>0</v>
      </c>
      <c r="AD28">
        <v>0</v>
      </c>
      <c r="AF28" t="inlineStr">
        <is>
          <t>全部</t>
        </is>
      </c>
    </row>
    <row r="29">
      <c r="A29" t="inlineStr">
        <is>
          <t>問題代碼（資產推演）</t>
        </is>
      </c>
      <c r="B29" t="inlineStr">
        <is>
          <t>全部</t>
        </is>
      </c>
      <c r="C29" t="inlineStr">
        <is>
          <t>FLAT_MISS：預測持平但實際漲／跌且 |實際| &lt; 2 個持平帶（幅度判斷偏保守）；或預測漲／跌但實際持平（幅度高估）</t>
        </is>
      </c>
      <c r="D29">
        <v>0</v>
      </c>
      <c r="AD29">
        <v>0</v>
      </c>
      <c r="AF29" t="inlineStr">
        <is>
          <t>全部</t>
        </is>
      </c>
    </row>
    <row r="30">
      <c r="A30" t="inlineStr">
        <is>
          <t>問題代碼（資產推演）</t>
        </is>
      </c>
      <c r="B30" t="inlineStr">
        <is>
          <t>全部</t>
        </is>
      </c>
      <c r="C30" t="inlineStr">
        <is>
          <t>MAG_ONLY：綜合判斷對，但實際落在 80% 結果區間外（幅度錯）</t>
        </is>
      </c>
      <c r="D30">
        <v>0</v>
      </c>
      <c r="AD30">
        <v>0</v>
      </c>
      <c r="AF30" t="inlineStr">
        <is>
          <t>全部</t>
        </is>
      </c>
    </row>
    <row r="31">
      <c r="A31" t="inlineStr">
        <is>
          <t>問題代碼（事件推演）</t>
        </is>
      </c>
      <c r="B31" t="inlineStr">
        <is>
          <t>全部</t>
        </is>
      </c>
      <c r="C31" t="inlineStr">
        <is>
          <t>OK：和提示一致（比平常更可能且發生，或比平常更不可能且沒發生）</t>
        </is>
      </c>
      <c r="D31">
        <v>0</v>
      </c>
      <c r="AD31">
        <v>0</v>
      </c>
      <c r="AF31" t="inlineStr">
        <is>
          <t>全部</t>
        </is>
      </c>
    </row>
    <row r="32">
      <c r="A32" t="inlineStr">
        <is>
          <t>問題代碼（事件推演）</t>
        </is>
      </c>
      <c r="B32" t="inlineStr">
        <is>
          <t>全部</t>
        </is>
      </c>
      <c r="C32" t="inlineStr">
        <is>
          <t>CHAIN_BROKEN：比平常更可能但沒有發生，且前導事件到期時已不成立（傳導鏈在前一步斷了）</t>
        </is>
      </c>
      <c r="D32">
        <v>0</v>
      </c>
      <c r="AD32">
        <v>0</v>
      </c>
      <c r="AF32" t="inlineStr">
        <is>
          <t>全部</t>
        </is>
      </c>
    </row>
    <row r="33">
      <c r="A33" t="inlineStr">
        <is>
          <t>問題代碼（事件推演）</t>
        </is>
      </c>
      <c r="B33" t="inlineStr">
        <is>
          <t>全部</t>
        </is>
      </c>
      <c r="C33" t="inlineStr">
        <is>
          <t>TOO_EARLY_OR_WRONG：比平常更可能但沒有發生，前導事件到期時仍成立（還沒傳導到，或推論錯了）</t>
        </is>
      </c>
      <c r="D33">
        <v>0</v>
      </c>
      <c r="AD33">
        <v>0</v>
      </c>
      <c r="AF33" t="inlineStr">
        <is>
          <t>全部</t>
        </is>
      </c>
    </row>
    <row r="34">
      <c r="A34" t="inlineStr">
        <is>
          <t>問題代碼（事件推演）</t>
        </is>
      </c>
      <c r="B34" t="inlineStr">
        <is>
          <t>全部</t>
        </is>
      </c>
      <c r="C34" t="inlineStr">
        <is>
          <t>MISSED：比平常更不可能但發生了（漏看）</t>
        </is>
      </c>
      <c r="D34">
        <v>0</v>
      </c>
      <c r="AD34">
        <v>0</v>
      </c>
      <c r="AF34" t="inlineStr">
        <is>
          <t>全部</t>
        </is>
      </c>
    </row>
    <row r="35">
      <c r="A35" t="inlineStr">
        <is>
          <t>問題代碼（事件推演）</t>
        </is>
      </c>
      <c r="B35" t="inlineStr">
        <is>
          <t>全部</t>
        </is>
      </c>
      <c r="C35" t="inlineStr">
        <is>
          <t>NA：差距不到 5 點或沒有機率資料：不判對錯，只計 Brier</t>
        </is>
      </c>
      <c r="D35">
        <v>0</v>
      </c>
      <c r="AD35">
        <v>0</v>
      </c>
      <c r="AF35" t="inlineStr">
        <is>
          <t>全部</t>
        </is>
      </c>
    </row>
    <row r="36">
      <c r="A36" t="inlineStr">
        <is>
          <t>資產推演</t>
        </is>
      </c>
      <c r="B36" t="inlineStr">
        <is>
          <t>3 個月</t>
        </is>
      </c>
      <c r="C36" t="inlineStr">
        <is>
          <t>綜合判斷（投票）</t>
        </is>
      </c>
      <c r="D36">
        <v>0</v>
      </c>
      <c r="E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AC36">
        <v>31</v>
      </c>
      <c r="AD36">
        <v>0</v>
      </c>
      <c r="AE36" t="inlineStr">
        <is>
          <t>判定數 &lt; 30 勿過度解讀</t>
        </is>
      </c>
      <c r="AF36" t="inlineStr">
        <is>
          <t>設定檔上線前</t>
        </is>
      </c>
    </row>
    <row r="37">
      <c r="A37" t="inlineStr">
        <is>
          <t>資產推演</t>
        </is>
      </c>
      <c r="B37" t="inlineStr">
        <is>
          <t>3 個月</t>
        </is>
      </c>
      <c r="C37" t="inlineStr">
        <is>
          <t>綜合機率判斷</t>
        </is>
      </c>
      <c r="D37">
        <v>0</v>
      </c>
      <c r="E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AC37">
        <v>31</v>
      </c>
      <c r="AD37">
        <v>0</v>
      </c>
      <c r="AE37" t="inlineStr">
        <is>
          <t>判定數 &lt; 30 勿過度解讀</t>
        </is>
      </c>
      <c r="AF37" t="inlineStr">
        <is>
          <t>設定檔上線前</t>
        </is>
      </c>
    </row>
    <row r="38">
      <c r="A38" t="inlineStr">
        <is>
          <t>資產推演</t>
        </is>
      </c>
      <c r="B38" t="inlineStr">
        <is>
          <t>3 個月</t>
        </is>
      </c>
      <c r="C38" t="inlineStr">
        <is>
          <t>總經面</t>
        </is>
      </c>
      <c r="D38">
        <v>0</v>
      </c>
      <c r="E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AC38">
        <v>31</v>
      </c>
      <c r="AD38">
        <v>0</v>
      </c>
      <c r="AE38" t="inlineStr">
        <is>
          <t>判定數 &lt; 30 勿過度解讀</t>
        </is>
      </c>
      <c r="AF38" t="inlineStr">
        <is>
          <t>設定檔上線前</t>
        </is>
      </c>
    </row>
    <row r="39">
      <c r="A39" t="inlineStr">
        <is>
          <t>資產推演</t>
        </is>
      </c>
      <c r="B39" t="inlineStr">
        <is>
          <t>3 個月</t>
        </is>
      </c>
      <c r="C39" t="inlineStr">
        <is>
          <t>產業鏈面</t>
        </is>
      </c>
      <c r="D39">
        <v>0</v>
      </c>
      <c r="E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AC39">
        <v>31</v>
      </c>
      <c r="AD39">
        <v>0</v>
      </c>
      <c r="AE39" t="inlineStr">
        <is>
          <t>判定數 &lt; 30 勿過度解讀</t>
        </is>
      </c>
      <c r="AF39" t="inlineStr">
        <is>
          <t>設定檔上線前</t>
        </is>
      </c>
    </row>
    <row r="40">
      <c r="A40" t="inlineStr">
        <is>
          <t>資產推演</t>
        </is>
      </c>
      <c r="B40" t="inlineStr">
        <is>
          <t>3 個月</t>
        </is>
      </c>
      <c r="C40" t="inlineStr">
        <is>
          <t>歷史類比面</t>
        </is>
      </c>
      <c r="D40">
        <v>0</v>
      </c>
      <c r="E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AC40">
        <v>31</v>
      </c>
      <c r="AD40">
        <v>0</v>
      </c>
      <c r="AE40" t="inlineStr">
        <is>
          <t>判定數 &lt; 30 勿過度解讀</t>
        </is>
      </c>
      <c r="AF40" t="inlineStr">
        <is>
          <t>設定檔上線前</t>
        </is>
      </c>
    </row>
    <row r="41">
      <c r="A41" t="inlineStr">
        <is>
          <t>資產推演</t>
        </is>
      </c>
      <c r="B41" t="inlineStr">
        <is>
          <t>3 個月</t>
        </is>
      </c>
      <c r="C41" t="inlineStr">
        <is>
          <t>位階面</t>
        </is>
      </c>
      <c r="D41">
        <v>0</v>
      </c>
      <c r="E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AC41">
        <v>31</v>
      </c>
      <c r="AD41">
        <v>0</v>
      </c>
      <c r="AE41" t="inlineStr">
        <is>
          <t>判定數 &lt; 30 勿過度解讀</t>
        </is>
      </c>
      <c r="AF41" t="inlineStr">
        <is>
          <t>設定檔上線前</t>
        </is>
      </c>
    </row>
    <row r="42">
      <c r="A42" t="inlineStr">
        <is>
          <t>資產推演</t>
        </is>
      </c>
      <c r="B42" t="inlineStr">
        <is>
          <t>3 個月</t>
        </is>
      </c>
      <c r="C42" t="inlineStr">
        <is>
          <t>幅度推演</t>
        </is>
      </c>
      <c r="D42">
        <v>0</v>
      </c>
      <c r="E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AC42">
        <v>31</v>
      </c>
      <c r="AD42">
        <v>0</v>
      </c>
      <c r="AE42" t="inlineStr">
        <is>
          <t>判定數 &lt; 30 勿過度解讀</t>
        </is>
      </c>
      <c r="AF42" t="inlineStr">
        <is>
          <t>設定檔上線前</t>
        </is>
      </c>
    </row>
    <row r="43">
      <c r="A43" t="inlineStr">
        <is>
          <t>資產推演</t>
        </is>
      </c>
      <c r="B43" t="inlineStr">
        <is>
          <t>6 個月</t>
        </is>
      </c>
      <c r="C43" t="inlineStr">
        <is>
          <t>綜合判斷（投票）</t>
        </is>
      </c>
      <c r="D43">
        <v>0</v>
      </c>
      <c r="E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AC43">
        <v>31</v>
      </c>
      <c r="AD43">
        <v>0</v>
      </c>
      <c r="AE43" t="inlineStr">
        <is>
          <t>判定數 &lt; 30 勿過度解讀</t>
        </is>
      </c>
      <c r="AF43" t="inlineStr">
        <is>
          <t>設定檔上線前</t>
        </is>
      </c>
    </row>
    <row r="44">
      <c r="A44" t="inlineStr">
        <is>
          <t>資產推演</t>
        </is>
      </c>
      <c r="B44" t="inlineStr">
        <is>
          <t>6 個月</t>
        </is>
      </c>
      <c r="C44" t="inlineStr">
        <is>
          <t>綜合機率判斷</t>
        </is>
      </c>
      <c r="D44">
        <v>0</v>
      </c>
      <c r="E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AC44">
        <v>31</v>
      </c>
      <c r="AD44">
        <v>0</v>
      </c>
      <c r="AE44" t="inlineStr">
        <is>
          <t>判定數 &lt; 30 勿過度解讀</t>
        </is>
      </c>
      <c r="AF44" t="inlineStr">
        <is>
          <t>設定檔上線前</t>
        </is>
      </c>
    </row>
    <row r="45">
      <c r="A45" t="inlineStr">
        <is>
          <t>資產推演</t>
        </is>
      </c>
      <c r="B45" t="inlineStr">
        <is>
          <t>6 個月</t>
        </is>
      </c>
      <c r="C45" t="inlineStr">
        <is>
          <t>總經面</t>
        </is>
      </c>
      <c r="D45">
        <v>0</v>
      </c>
      <c r="E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AC45">
        <v>31</v>
      </c>
      <c r="AD45">
        <v>0</v>
      </c>
      <c r="AE45" t="inlineStr">
        <is>
          <t>判定數 &lt; 30 勿過度解讀</t>
        </is>
      </c>
      <c r="AF45" t="inlineStr">
        <is>
          <t>設定檔上線前</t>
        </is>
      </c>
    </row>
    <row r="46">
      <c r="A46" t="inlineStr">
        <is>
          <t>資產推演</t>
        </is>
      </c>
      <c r="B46" t="inlineStr">
        <is>
          <t>6 個月</t>
        </is>
      </c>
      <c r="C46" t="inlineStr">
        <is>
          <t>產業鏈面</t>
        </is>
      </c>
      <c r="D46">
        <v>0</v>
      </c>
      <c r="E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AC46">
        <v>31</v>
      </c>
      <c r="AD46">
        <v>0</v>
      </c>
      <c r="AE46" t="inlineStr">
        <is>
          <t>判定數 &lt; 30 勿過度解讀</t>
        </is>
      </c>
      <c r="AF46" t="inlineStr">
        <is>
          <t>設定檔上線前</t>
        </is>
      </c>
    </row>
    <row r="47">
      <c r="A47" t="inlineStr">
        <is>
          <t>資產推演</t>
        </is>
      </c>
      <c r="B47" t="inlineStr">
        <is>
          <t>6 個月</t>
        </is>
      </c>
      <c r="C47" t="inlineStr">
        <is>
          <t>歷史類比面</t>
        </is>
      </c>
      <c r="D47">
        <v>0</v>
      </c>
      <c r="E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AC47">
        <v>31</v>
      </c>
      <c r="AD47">
        <v>0</v>
      </c>
      <c r="AE47" t="inlineStr">
        <is>
          <t>判定數 &lt; 30 勿過度解讀</t>
        </is>
      </c>
      <c r="AF47" t="inlineStr">
        <is>
          <t>設定檔上線前</t>
        </is>
      </c>
    </row>
    <row r="48">
      <c r="A48" t="inlineStr">
        <is>
          <t>資產推演</t>
        </is>
      </c>
      <c r="B48" t="inlineStr">
        <is>
          <t>6 個月</t>
        </is>
      </c>
      <c r="C48" t="inlineStr">
        <is>
          <t>位階面</t>
        </is>
      </c>
      <c r="D48">
        <v>0</v>
      </c>
      <c r="E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AC48">
        <v>31</v>
      </c>
      <c r="AD48">
        <v>0</v>
      </c>
      <c r="AE48" t="inlineStr">
        <is>
          <t>判定數 &lt; 30 勿過度解讀</t>
        </is>
      </c>
      <c r="AF48" t="inlineStr">
        <is>
          <t>設定檔上線前</t>
        </is>
      </c>
    </row>
    <row r="49">
      <c r="A49" t="inlineStr">
        <is>
          <t>資產推演</t>
        </is>
      </c>
      <c r="B49" t="inlineStr">
        <is>
          <t>6 個月</t>
        </is>
      </c>
      <c r="C49" t="inlineStr">
        <is>
          <t>幅度推演</t>
        </is>
      </c>
      <c r="D49">
        <v>0</v>
      </c>
      <c r="E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AC49">
        <v>31</v>
      </c>
      <c r="AD49">
        <v>0</v>
      </c>
      <c r="AE49" t="inlineStr">
        <is>
          <t>判定數 &lt; 30 勿過度解讀</t>
        </is>
      </c>
      <c r="AF49" t="inlineStr">
        <is>
          <t>設定檔上線前</t>
        </is>
      </c>
    </row>
    <row r="50">
      <c r="A50" t="inlineStr">
        <is>
          <t>資產推演</t>
        </is>
      </c>
      <c r="B50" t="inlineStr">
        <is>
          <t>12 個月</t>
        </is>
      </c>
      <c r="C50" t="inlineStr">
        <is>
          <t>綜合判斷（投票）</t>
        </is>
      </c>
      <c r="D50">
        <v>0</v>
      </c>
      <c r="E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AC50">
        <v>31</v>
      </c>
      <c r="AD50">
        <v>0</v>
      </c>
      <c r="AE50" t="inlineStr">
        <is>
          <t>判定數 &lt; 30 勿過度解讀</t>
        </is>
      </c>
      <c r="AF50" t="inlineStr">
        <is>
          <t>設定檔上線前</t>
        </is>
      </c>
    </row>
    <row r="51">
      <c r="A51" t="inlineStr">
        <is>
          <t>資產推演</t>
        </is>
      </c>
      <c r="B51" t="inlineStr">
        <is>
          <t>12 個月</t>
        </is>
      </c>
      <c r="C51" t="inlineStr">
        <is>
          <t>綜合機率判斷</t>
        </is>
      </c>
      <c r="D51">
        <v>0</v>
      </c>
      <c r="E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AC51">
        <v>31</v>
      </c>
      <c r="AD51">
        <v>0</v>
      </c>
      <c r="AE51" t="inlineStr">
        <is>
          <t>判定數 &lt; 30 勿過度解讀</t>
        </is>
      </c>
      <c r="AF51" t="inlineStr">
        <is>
          <t>設定檔上線前</t>
        </is>
      </c>
    </row>
    <row r="52">
      <c r="A52" t="inlineStr">
        <is>
          <t>資產推演</t>
        </is>
      </c>
      <c r="B52" t="inlineStr">
        <is>
          <t>12 個月</t>
        </is>
      </c>
      <c r="C52" t="inlineStr">
        <is>
          <t>總經面</t>
        </is>
      </c>
      <c r="D52">
        <v>0</v>
      </c>
      <c r="E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AC52">
        <v>31</v>
      </c>
      <c r="AD52">
        <v>0</v>
      </c>
      <c r="AE52" t="inlineStr">
        <is>
          <t>判定數 &lt; 30 勿過度解讀</t>
        </is>
      </c>
      <c r="AF52" t="inlineStr">
        <is>
          <t>設定檔上線前</t>
        </is>
      </c>
    </row>
    <row r="53">
      <c r="A53" t="inlineStr">
        <is>
          <t>資產推演</t>
        </is>
      </c>
      <c r="B53" t="inlineStr">
        <is>
          <t>12 個月</t>
        </is>
      </c>
      <c r="C53" t="inlineStr">
        <is>
          <t>產業鏈面</t>
        </is>
      </c>
      <c r="D53">
        <v>0</v>
      </c>
      <c r="E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AC53">
        <v>31</v>
      </c>
      <c r="AD53">
        <v>0</v>
      </c>
      <c r="AE53" t="inlineStr">
        <is>
          <t>判定數 &lt; 30 勿過度解讀</t>
        </is>
      </c>
      <c r="AF53" t="inlineStr">
        <is>
          <t>設定檔上線前</t>
        </is>
      </c>
    </row>
    <row r="54">
      <c r="A54" t="inlineStr">
        <is>
          <t>資產推演</t>
        </is>
      </c>
      <c r="B54" t="inlineStr">
        <is>
          <t>12 個月</t>
        </is>
      </c>
      <c r="C54" t="inlineStr">
        <is>
          <t>歷史類比面</t>
        </is>
      </c>
      <c r="D54">
        <v>0</v>
      </c>
      <c r="E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AC54">
        <v>31</v>
      </c>
      <c r="AD54">
        <v>0</v>
      </c>
      <c r="AE54" t="inlineStr">
        <is>
          <t>判定數 &lt; 30 勿過度解讀</t>
        </is>
      </c>
      <c r="AF54" t="inlineStr">
        <is>
          <t>設定檔上線前</t>
        </is>
      </c>
    </row>
    <row r="55">
      <c r="A55" t="inlineStr">
        <is>
          <t>資產推演</t>
        </is>
      </c>
      <c r="B55" t="inlineStr">
        <is>
          <t>12 個月</t>
        </is>
      </c>
      <c r="C55" t="inlineStr">
        <is>
          <t>位階面</t>
        </is>
      </c>
      <c r="D55">
        <v>0</v>
      </c>
      <c r="E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AC55">
        <v>31</v>
      </c>
      <c r="AD55">
        <v>0</v>
      </c>
      <c r="AE55" t="inlineStr">
        <is>
          <t>判定數 &lt; 30 勿過度解讀</t>
        </is>
      </c>
      <c r="AF55" t="inlineStr">
        <is>
          <t>設定檔上線前</t>
        </is>
      </c>
    </row>
    <row r="56">
      <c r="A56" t="inlineStr">
        <is>
          <t>資產推演</t>
        </is>
      </c>
      <c r="B56" t="inlineStr">
        <is>
          <t>12 個月</t>
        </is>
      </c>
      <c r="C56" t="inlineStr">
        <is>
          <t>幅度推演</t>
        </is>
      </c>
      <c r="D56">
        <v>0</v>
      </c>
      <c r="E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AC56">
        <v>31</v>
      </c>
      <c r="AD56">
        <v>0</v>
      </c>
      <c r="AE56" t="inlineStr">
        <is>
          <t>判定數 &lt; 30 勿過度解讀</t>
        </is>
      </c>
      <c r="AF56" t="inlineStr">
        <is>
          <t>設定檔上線前</t>
        </is>
      </c>
    </row>
    <row r="57">
      <c r="A57" t="inlineStr">
        <is>
          <t>事件推演</t>
        </is>
      </c>
      <c r="B57" t="inlineStr">
        <is>
          <t>6 個月</t>
        </is>
      </c>
      <c r="C57" t="inlineStr">
        <is>
          <t>事件（比平常更可能／更不可能才判對錯）</t>
        </is>
      </c>
      <c r="D57">
        <v>0</v>
      </c>
      <c r="E57">
        <v>0</v>
      </c>
      <c r="AC57">
        <v>12</v>
      </c>
      <c r="AD57">
        <v>0</v>
      </c>
      <c r="AE57" t="inlineStr">
        <is>
          <t>判定數 &lt; 30 勿過度解讀</t>
        </is>
      </c>
      <c r="AF57" t="inlineStr">
        <is>
          <t>設定檔上線前</t>
        </is>
      </c>
    </row>
    <row r="58">
      <c r="A58" t="inlineStr">
        <is>
          <t>事件推演</t>
        </is>
      </c>
      <c r="B58" t="inlineStr">
        <is>
          <t>12 個月</t>
        </is>
      </c>
      <c r="C58" t="inlineStr">
        <is>
          <t>事件（比平常更可能／更不可能才判對錯）</t>
        </is>
      </c>
      <c r="D58">
        <v>0</v>
      </c>
      <c r="E58">
        <v>0</v>
      </c>
      <c r="AC58">
        <v>12</v>
      </c>
      <c r="AD58">
        <v>0</v>
      </c>
      <c r="AE58" t="inlineStr">
        <is>
          <t>判定數 &lt; 30 勿過度解讀</t>
        </is>
      </c>
      <c r="AF58" t="inlineStr">
        <is>
          <t>設定檔上線前</t>
        </is>
      </c>
    </row>
    <row r="59">
      <c r="A59" t="inlineStr">
        <is>
          <t>問題代碼（資產推演）</t>
        </is>
      </c>
      <c r="B59" t="inlineStr">
        <is>
          <t>全部</t>
        </is>
      </c>
      <c r="C59" t="inlineStr">
        <is>
          <t>OK：綜合判斷對</t>
        </is>
      </c>
      <c r="D59">
        <v>0</v>
      </c>
      <c r="AD59">
        <v>0</v>
      </c>
      <c r="AF59" t="inlineStr">
        <is>
          <t>設定檔上線前</t>
        </is>
      </c>
    </row>
    <row r="60">
      <c r="A60" t="inlineStr">
        <is>
          <t>問題代碼（資產推演）</t>
        </is>
      </c>
      <c r="B60" t="inlineStr">
        <is>
          <t>全部</t>
        </is>
      </c>
      <c r="C60" t="inlineStr">
        <is>
          <t>FACE_SPLIT：綜合判斷錯，但有面判對（投票方式或權重的問題）</t>
        </is>
      </c>
      <c r="D60">
        <v>0</v>
      </c>
      <c r="AD60">
        <v>0</v>
      </c>
      <c r="AF60" t="inlineStr">
        <is>
          <t>設定檔上線前</t>
        </is>
      </c>
    </row>
    <row r="61">
      <c r="A61" t="inlineStr">
        <is>
          <t>問題代碼（資產推演）</t>
        </is>
      </c>
      <c r="B61" t="inlineStr">
        <is>
          <t>全部</t>
        </is>
      </c>
      <c r="C61" t="inlineStr">
        <is>
          <t>ALL_WRONG：有訊號的面全部判錯（四面都沒看到；四面都沒有訊號時也算）</t>
        </is>
      </c>
      <c r="D61">
        <v>0</v>
      </c>
      <c r="AD61">
        <v>0</v>
      </c>
      <c r="AF61" t="inlineStr">
        <is>
          <t>設定檔上線前</t>
        </is>
      </c>
    </row>
    <row r="62">
      <c r="A62" t="inlineStr">
        <is>
          <t>問題代碼（資產推演）</t>
        </is>
      </c>
      <c r="B62" t="inlineStr">
        <is>
          <t>全部</t>
        </is>
      </c>
      <c r="C62" t="inlineStr">
        <is>
          <t>CHAIN_BROKEN：產業鏈面判錯，且它依賴的事件到期時沒有發生（傳導鏈在那一步斷了）</t>
        </is>
      </c>
      <c r="D62">
        <v>0</v>
      </c>
      <c r="AD62">
        <v>0</v>
      </c>
      <c r="AF62" t="inlineStr">
        <is>
          <t>設定檔上線前</t>
        </is>
      </c>
    </row>
    <row r="63">
      <c r="A63" t="inlineStr">
        <is>
          <t>問題代碼（資產推演）</t>
        </is>
      </c>
      <c r="B63" t="inlineStr">
        <is>
          <t>全部</t>
        </is>
      </c>
      <c r="C63" t="inlineStr">
        <is>
          <t>FLAT_MISS：預測持平但實際漲／跌且 |實際| &lt; 2 個持平帶（幅度判斷偏保守）；或預測漲／跌但實際持平（幅度高估）</t>
        </is>
      </c>
      <c r="D63">
        <v>0</v>
      </c>
      <c r="AD63">
        <v>0</v>
      </c>
      <c r="AF63" t="inlineStr">
        <is>
          <t>設定檔上線前</t>
        </is>
      </c>
    </row>
    <row r="64">
      <c r="A64" t="inlineStr">
        <is>
          <t>問題代碼（資產推演）</t>
        </is>
      </c>
      <c r="B64" t="inlineStr">
        <is>
          <t>全部</t>
        </is>
      </c>
      <c r="C64" t="inlineStr">
        <is>
          <t>MAG_ONLY：綜合判斷對，但實際落在 80% 結果區間外（幅度錯）</t>
        </is>
      </c>
      <c r="D64">
        <v>0</v>
      </c>
      <c r="AD64">
        <v>0</v>
      </c>
      <c r="AF64" t="inlineStr">
        <is>
          <t>設定檔上線前</t>
        </is>
      </c>
    </row>
    <row r="65">
      <c r="A65" t="inlineStr">
        <is>
          <t>問題代碼（事件推演）</t>
        </is>
      </c>
      <c r="B65" t="inlineStr">
        <is>
          <t>全部</t>
        </is>
      </c>
      <c r="C65" t="inlineStr">
        <is>
          <t>OK：和提示一致（比平常更可能且發生，或比平常更不可能且沒發生）</t>
        </is>
      </c>
      <c r="D65">
        <v>0</v>
      </c>
      <c r="AD65">
        <v>0</v>
      </c>
      <c r="AF65" t="inlineStr">
        <is>
          <t>設定檔上線前</t>
        </is>
      </c>
    </row>
    <row r="66">
      <c r="A66" t="inlineStr">
        <is>
          <t>問題代碼（事件推演）</t>
        </is>
      </c>
      <c r="B66" t="inlineStr">
        <is>
          <t>全部</t>
        </is>
      </c>
      <c r="C66" t="inlineStr">
        <is>
          <t>CHAIN_BROKEN：比平常更可能但沒有發生，且前導事件到期時已不成立（傳導鏈在前一步斷了）</t>
        </is>
      </c>
      <c r="D66">
        <v>0</v>
      </c>
      <c r="AD66">
        <v>0</v>
      </c>
      <c r="AF66" t="inlineStr">
        <is>
          <t>設定檔上線前</t>
        </is>
      </c>
    </row>
    <row r="67">
      <c r="A67" t="inlineStr">
        <is>
          <t>問題代碼（事件推演）</t>
        </is>
      </c>
      <c r="B67" t="inlineStr">
        <is>
          <t>全部</t>
        </is>
      </c>
      <c r="C67" t="inlineStr">
        <is>
          <t>TOO_EARLY_OR_WRONG：比平常更可能但沒有發生，前導事件到期時仍成立（還沒傳導到，或推論錯了）</t>
        </is>
      </c>
      <c r="D67">
        <v>0</v>
      </c>
      <c r="AD67">
        <v>0</v>
      </c>
      <c r="AF67" t="inlineStr">
        <is>
          <t>設定檔上線前</t>
        </is>
      </c>
    </row>
    <row r="68">
      <c r="A68" t="inlineStr">
        <is>
          <t>問題代碼（事件推演）</t>
        </is>
      </c>
      <c r="B68" t="inlineStr">
        <is>
          <t>全部</t>
        </is>
      </c>
      <c r="C68" t="inlineStr">
        <is>
          <t>MISSED：比平常更不可能但發生了（漏看）</t>
        </is>
      </c>
      <c r="D68">
        <v>0</v>
      </c>
      <c r="AD68">
        <v>0</v>
      </c>
      <c r="AF68" t="inlineStr">
        <is>
          <t>設定檔上線前</t>
        </is>
      </c>
    </row>
    <row r="69">
      <c r="A69" t="inlineStr">
        <is>
          <t>問題代碼（事件推演）</t>
        </is>
      </c>
      <c r="B69" t="inlineStr">
        <is>
          <t>全部</t>
        </is>
      </c>
      <c r="C69" t="inlineStr">
        <is>
          <t>NA：差距不到 5 點或沒有機率資料：不判對錯，只計 Brier</t>
        </is>
      </c>
      <c r="D69">
        <v>0</v>
      </c>
      <c r="AD69">
        <v>0</v>
      </c>
      <c r="AF69" t="inlineStr">
        <is>
          <t>設定檔上線前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6" customWidth="1"/>
    <col min="3" max="3" width="14" customWidth="1"/>
    <col min="4" max="4" width="80" customWidth="1"/>
    <col min="5" max="5" width="18" customWidth="1"/>
    <col min="6" max="6" width="10" customWidth="1"/>
    <col min="7" max="7" width="16" customWidth="1"/>
    <col min="8" max="8" width="40" customWidth="1"/>
    <col min="9" max="9" width="6" customWidth="1"/>
    <col min="10" max="10" width="12" customWidth="1"/>
  </cols>
  <sheetData>
    <row r="1">
      <c r="A1" s="1" t="inlineStr">
        <is>
          <t>規則代碼</t>
        </is>
      </c>
      <c r="B1" s="1" t="inlineStr">
        <is>
          <t>步驟</t>
        </is>
      </c>
      <c r="C1" s="1" t="inlineStr">
        <is>
          <t>名稱</t>
        </is>
      </c>
      <c r="D1" s="1" t="inlineStr">
        <is>
          <t>定義</t>
        </is>
      </c>
      <c r="E1" s="1" t="inlineStr">
        <is>
          <t>門檻或參數</t>
        </is>
      </c>
      <c r="F1" s="1" t="inlineStr">
        <is>
          <t>是否參與預測</t>
        </is>
      </c>
      <c r="G1" s="1" t="inlineStr">
        <is>
          <t>輸出到哪一欄</t>
        </is>
      </c>
      <c r="H1" s="1" t="inlineStr">
        <is>
          <t>研究依據</t>
        </is>
      </c>
      <c r="I1" s="1" t="inlineStr">
        <is>
          <t>模型版本</t>
        </is>
      </c>
      <c r="J1" s="1" t="inlineStr">
        <is>
          <t>設定版本</t>
        </is>
      </c>
    </row>
    <row r="2">
      <c r="A2" t="inlineStr">
        <is>
          <t>SC-0</t>
        </is>
      </c>
      <c r="B2" t="inlineStr">
        <is>
          <t>批次</t>
        </is>
      </c>
      <c r="C2" t="inlineStr">
        <is>
          <t>建批節奏</t>
        </is>
      </c>
      <c r="D2" s="9" t="inlineStr">
        <is>
          <t>每個新的資料月份（沙盤推演的 asof）建一批，編號 SC-&lt;資料月份&gt;；同一個月份重跑不重複建。預測欄位寫入後永不修改，結果欄位到期才寫。</t>
        </is>
      </c>
      <c r="E2" t="inlineStr">
        <is>
          <t>每月一批</t>
        </is>
      </c>
      <c r="F2" t="inlineStr">
        <is>
          <t>是</t>
        </is>
      </c>
      <c r="G2" t="inlineStr">
        <is>
          <t>資產!B、事件!B</t>
        </is>
      </c>
      <c r="H2" s="9" t="inlineStr">
        <is>
          <t>沙盤推演的模型數字只在資料月份換月時變</t>
        </is>
      </c>
      <c r="I2" t="inlineStr">
        <is>
          <t>sc1</t>
        </is>
      </c>
      <c r="J2" t="inlineStr">
        <is>
          <t>S-d7f366cb</t>
        </is>
      </c>
    </row>
    <row r="3">
      <c r="A3" t="inlineStr">
        <is>
          <t>SC-1</t>
        </is>
      </c>
      <c r="B3" t="inlineStr">
        <is>
          <t>持平帶</t>
        </is>
      </c>
      <c r="C3" t="inlineStr">
        <is>
          <t>σ_h 與持平帶</t>
        </is>
      </c>
      <c r="D3" s="9" t="inlineStr">
        <is>
          <t>σ_h＝該資產到起算月為止已經知道結果的所有 h 個月報酬（chains.forward，和模型目標同一個定義與序列；t ≤ 起算月−h−lag）的樣本標準差；持平帶＝0.43×σ_h（σ_h 先取 2 位小數）。實際報酬 &gt; +持平帶 → 漲；&lt; −持平帶 → 跌；其餘（含剛好等於邊界）→ 持平。</t>
        </is>
      </c>
      <c r="E3" t="inlineStr">
        <is>
          <t>0.43；σ_h 至少 24 個樣本</t>
        </is>
      </c>
      <c r="F3" t="inlineStr">
        <is>
          <t>是</t>
        </is>
      </c>
      <c r="G3" t="inlineStr">
        <is>
          <t>資產!K～M、資產!BK</t>
        </is>
      </c>
      <c r="H3" s="9" t="inlineStr">
        <is>
          <t>常態下 P(|z| ≤ 0.43) ≈ 1/3：漲、持平、跌各約三分之一</t>
        </is>
      </c>
      <c r="I3" t="inlineStr">
        <is>
          <t>sc1</t>
        </is>
      </c>
      <c r="J3" t="inlineStr">
        <is>
          <t>S-d7f366cb</t>
        </is>
      </c>
    </row>
    <row r="4">
      <c r="A4" t="inlineStr">
        <is>
          <t>SC-2</t>
        </is>
      </c>
      <c r="B4" t="inlineStr">
        <is>
          <t>分類</t>
        </is>
      </c>
      <c r="C4" t="inlineStr">
        <is>
          <t>機率制判斷（40% 規則）</t>
        </is>
      </c>
      <c r="D4" s="9" t="inlineStr">
        <is>
          <t>總經、歷史類比、位階三面與幅度推演：預估值是「條件平均」，直接套持平帶幾乎都會落在帶內、判成持平，所以改成假設實際報酬 ~ 常態（平均＝該面預估值 m、標準差＝σ_h），P漲＝P(r &gt; +帶)＝1−Φ((帶−m)/σ_h)、P跌＝P(r &lt; −帶)＝Φ((−帶−m)/σ_h)、P持平＝100−P漲−P跌（%，2 位小數）。P漲 ≥ 40% → 漲；P跌 ≥ 40% → 跌；否則持平。m＝0 時三類各約 33%（持平）；帶＝0.43σ_h 時，P漲 ≥ 40% 等於 m ≥ 約 0.18σ_h（1−Φ(0.43−0.18)≈40%），跌的一側對稱。常態只是近似，報酬的厚尾與偏態會讓機率失準。</t>
        </is>
      </c>
      <c r="E4" t="inlineStr">
        <is>
          <t>40%；常態；約 0.18σ_h</t>
        </is>
      </c>
      <c r="F4" t="inlineStr">
        <is>
          <t>是</t>
        </is>
      </c>
      <c r="G4" t="inlineStr">
        <is>
          <t>各面 P漲／P持平／P跌與判斷、資產!AY～BB</t>
        </is>
      </c>
      <c r="H4" s="9"/>
      <c r="I4" t="inlineStr">
        <is>
          <t>sc1</t>
        </is>
      </c>
      <c r="J4" t="inlineStr">
        <is>
          <t>S-d7f366cb</t>
        </is>
      </c>
    </row>
    <row r="5">
      <c r="A5" t="inlineStr">
        <is>
          <t>F-1</t>
        </is>
      </c>
      <c r="B5" t="inlineStr">
        <is>
          <t>四面</t>
        </is>
      </c>
      <c r="C5" t="inlineStr">
        <is>
          <t>總經面</t>
        </is>
      </c>
      <c r="D5" s="9" t="inlineStr">
        <is>
          <t>預估＝平常＋校準後的模型超額（39 個總經訊號的 ridge 迴歸，沙盤推演的 cal）；沒有校準值用原始值（ev）並在依據欄註明「未校準」。判斷用 SC-2。</t>
        </is>
      </c>
      <c r="F5" t="inlineStr">
        <is>
          <t>是</t>
        </is>
      </c>
      <c r="G5" t="inlineStr">
        <is>
          <t>資產!N～S</t>
        </is>
      </c>
      <c r="H5" s="9" t="inlineStr">
        <is>
          <t>沙盤推演：校準斜率＝樣本外實際超額約是模型值的幾倍</t>
        </is>
      </c>
      <c r="I5" t="inlineStr">
        <is>
          <t>sc1</t>
        </is>
      </c>
      <c r="J5" t="inlineStr">
        <is>
          <t>S-d7f366cb</t>
        </is>
      </c>
    </row>
    <row r="6">
      <c r="A6" t="inlineStr">
        <is>
          <t>F-2</t>
        </is>
      </c>
      <c r="B6" t="inlineStr">
        <is>
          <t>四面</t>
        </is>
      </c>
      <c r="C6" t="inlineStr">
        <is>
          <t>產業鏈面</t>
        </is>
      </c>
      <c r="D6" s="9" t="inlineStr">
        <is>
          <t>這個資產（觸發條件用的序列＝它）在傳導鏈「未成立、上游已成立」的節點；3、6 個月另含跨鏈下一波訊號。取 |機率−平常| 最大者：≥ 5 個百分點 → 事件方向（觸發條件的比較是 ≥ 為漲、≤ 為跌，從定義讀）；≤ −5 → 持平（這個方向的大波動比平常更不可能）；其餘 → 無訊號。3、6 個月用 6 個月內的機率，12 個月用 12 個月內的機率；機率用校準後（往平常收縮），下一波訊號用原始機率。這一面沒有幅度，不給三類機率、不進綜合機率。</t>
        </is>
      </c>
      <c r="E6" t="inlineStr">
        <is>
          <t>差距 5 個百分點</t>
        </is>
      </c>
      <c r="F6" t="inlineStr">
        <is>
          <t>是</t>
        </is>
      </c>
      <c r="G6" t="inlineStr">
        <is>
          <t>資產!T～Z</t>
        </is>
      </c>
      <c r="H6" s="9" t="inlineStr">
        <is>
          <t>傳導鏈可信度計分板：「更可能」提示實際發生率比平常高幾個百分點</t>
        </is>
      </c>
      <c r="I6" t="inlineStr">
        <is>
          <t>sc1</t>
        </is>
      </c>
      <c r="J6" t="inlineStr">
        <is>
          <t>S-d7f366cb</t>
        </is>
      </c>
    </row>
    <row r="7">
      <c r="A7" t="inlineStr">
        <is>
          <t>F-3</t>
        </is>
      </c>
      <c r="B7" t="inlineStr">
        <is>
          <t>四面</t>
        </is>
      </c>
      <c r="C7" t="inlineStr">
        <is>
          <t>歷史類比面</t>
        </is>
      </c>
      <c r="D7" s="9" t="inlineStr">
        <is>
          <t>預估＝相似時點（亮燈組合和現在重疊 ≥ 0.25 的歷史月份）之後 h 個月的中位報酬（確切標的的 similar）；少於 3 段 → 無訊號。沒有確切標的的資產用 平常＋相似時點中位超額（沙盤推演的 knn）。只有反向標的（例日圓）時中位數取負號。判斷用 SC-2。</t>
        </is>
      </c>
      <c r="E7" t="inlineStr">
        <is>
          <t>相似度 0.25；至少 3 段</t>
        </is>
      </c>
      <c r="F7" t="inlineStr">
        <is>
          <t>是</t>
        </is>
      </c>
      <c r="G7" t="inlineStr">
        <is>
          <t>資產!AA～AF</t>
        </is>
      </c>
      <c r="H7" s="9" t="inlineStr">
        <is>
          <t>targets.py 同口徑</t>
        </is>
      </c>
      <c r="I7" t="inlineStr">
        <is>
          <t>sc1</t>
        </is>
      </c>
      <c r="J7" t="inlineStr">
        <is>
          <t>S-d7f366cb</t>
        </is>
      </c>
    </row>
    <row r="8">
      <c r="A8" t="inlineStr">
        <is>
          <t>F-4</t>
        </is>
      </c>
      <c r="B8" t="inlineStr">
        <is>
          <t>四面</t>
        </is>
      </c>
      <c r="C8" t="inlineStr">
        <is>
          <t>位階面</t>
        </is>
      </c>
      <c r="D8" s="9" t="inlineStr">
        <is>
          <t>預估＝目前 10 年位階所在那一組（五組）的歷史中位報酬（確切標的的 lowbase）；3 個月沿用 6 個月的表（和 targets.py 相同）；該組少於 3 段或沒有位階資料 → 無訊號。只有反向標的時用 targets.py 同一個函式重算原序列。判斷用 SC-2。</t>
        </is>
      </c>
      <c r="E8" t="inlineStr">
        <is>
          <t>五組；至少 3 段</t>
        </is>
      </c>
      <c r="F8" t="inlineStr">
        <is>
          <t>是</t>
        </is>
      </c>
      <c r="G8" t="inlineStr">
        <is>
          <t>資產!AG～AL</t>
        </is>
      </c>
      <c r="H8" s="9" t="inlineStr">
        <is>
          <t>targets.py 同口徑</t>
        </is>
      </c>
      <c r="I8" t="inlineStr">
        <is>
          <t>sc1</t>
        </is>
      </c>
      <c r="J8" t="inlineStr">
        <is>
          <t>S-d7f366cb</t>
        </is>
      </c>
    </row>
    <row r="9">
      <c r="A9" t="inlineStr">
        <is>
          <t>V-1</t>
        </is>
      </c>
      <c r="B9" t="inlineStr">
        <is>
          <t>綜合</t>
        </is>
      </c>
      <c r="C9" t="inlineStr">
        <is>
          <t>投票</t>
        </is>
      </c>
      <c r="D9" s="9" t="inlineStr">
        <is>
          <t>有訊號的面各投一票，最多票的類別勝出；平手或四面都無訊號 → 持平（判斷原因寫明）。一致度＝勝出票數／有訊號的面數。</t>
        </is>
      </c>
      <c r="F9" t="inlineStr">
        <is>
          <t>是</t>
        </is>
      </c>
      <c r="G9" t="inlineStr">
        <is>
          <t>資產!AM～AQ</t>
        </is>
      </c>
      <c r="H9" s="9"/>
      <c r="I9" t="inlineStr">
        <is>
          <t>sc1</t>
        </is>
      </c>
      <c r="J9" t="inlineStr">
        <is>
          <t>S-d7f366cb</t>
        </is>
      </c>
    </row>
    <row r="10">
      <c r="A10" t="inlineStr">
        <is>
          <t>V-2</t>
        </is>
      </c>
      <c r="B10" t="inlineStr">
        <is>
          <t>綜合</t>
        </is>
      </c>
      <c r="C10" t="inlineStr">
        <is>
          <t>綜合機率</t>
        </is>
      </c>
      <c r="D10" s="9" t="inlineStr">
        <is>
          <t>有機率的面（總經、歷史類比、位階中有訊號者）的 P漲、P持平、P跌各自等權平均（2 位小數）；機率判斷套 SC-2 的 40% 規則；三面都無訊號 → 機率欄空白、機率判斷記無訊號。到期記多類 Brier＝Σ(機率÷100−實際 0／1)²，基準「三類各 1/3」的 Brier 恆為 0.6667。</t>
        </is>
      </c>
      <c r="E10" t="inlineStr">
        <is>
          <t>40%；等權</t>
        </is>
      </c>
      <c r="F10" t="inlineStr">
        <is>
          <t>是</t>
        </is>
      </c>
      <c r="G10" t="inlineStr">
        <is>
          <t>資產!AR～AV、資產!BM～BN</t>
        </is>
      </c>
      <c r="H10" s="9"/>
      <c r="I10" t="inlineStr">
        <is>
          <t>sc1</t>
        </is>
      </c>
      <c r="J10" t="inlineStr">
        <is>
          <t>S-d7f366cb</t>
        </is>
      </c>
    </row>
    <row r="11">
      <c r="A11" t="inlineStr">
        <is>
          <t>M-1</t>
        </is>
      </c>
      <c r="B11" t="inlineStr">
        <is>
          <t>綜合</t>
        </is>
      </c>
      <c r="C11" t="inlineStr">
        <is>
          <t>幅度推演與 80% 結果區間</t>
        </is>
      </c>
      <c r="D11" s="9" t="inlineStr">
        <is>
          <t>預測報酬＝平常＋集成超額（ens_cal；沒有就用 ens 並註明「未校準集成」）；幅度推演分類＝以預測報酬為 m、σ_h 為標準差套 SC-2。80% 結果區間＝預測報酬＋(歷史 h 個月報酬的第 10 百分位 − 歷史平均)～預測報酬＋(第 90 百分位 − 歷史平均)，歷史和 σ_h 同一份樣本（t ≤ 起算月−h−lag，numpy 線性內插百分位，差值先取 2 位小數）；理想上約 80% 的實際報酬落在區間內。另記模型平均值區間（平常＋ridge 模型超額自助法第 10／90 百分位），那是模型平均值的不確定、不是結果區間，不用來對答案。</t>
        </is>
      </c>
      <c r="E11" t="inlineStr">
        <is>
          <t>第 10／90 百分位</t>
        </is>
      </c>
      <c r="F11" t="inlineStr">
        <is>
          <t>是</t>
        </is>
      </c>
      <c r="G11" t="inlineStr">
        <is>
          <t>資產!AW～BF</t>
        </is>
      </c>
      <c r="H11" s="9"/>
      <c r="I11" t="inlineStr">
        <is>
          <t>sc1</t>
        </is>
      </c>
      <c r="J11" t="inlineStr">
        <is>
          <t>S-d7f366cb</t>
        </is>
      </c>
    </row>
    <row r="12">
      <c r="A12" t="inlineStr">
        <is>
          <t>R-1</t>
        </is>
      </c>
      <c r="B12" t="inlineStr">
        <is>
          <t>到期</t>
        </is>
      </c>
      <c r="C12" t="inlineStr">
        <is>
          <t>對答案</t>
        </is>
      </c>
      <c r="D12" s="9" t="inlineStr">
        <is>
          <t>到期月份（起算月份＋期間；月均價序列再多一個月）的資料可用時，實際報酬＝chains.forward 在起算月的值（第 t 個月月底之後 h 個月的對數報酬×100；月均價序列從下個月的均價算起）——和模型目標 scenario.py 的 F 同一個函式、同一份序列。實際分類用同一列的持平帶（SC-1）。已結算的列不重算。</t>
        </is>
      </c>
      <c r="F12" t="inlineStr">
        <is>
          <t>否</t>
        </is>
      </c>
      <c r="G12" t="inlineStr">
        <is>
          <t>資產!BH～BX</t>
        </is>
      </c>
      <c r="H12" s="9"/>
      <c r="I12" t="inlineStr">
        <is>
          <t>sc1</t>
        </is>
      </c>
      <c r="J12" t="inlineStr">
        <is>
          <t>S-d7f366cb</t>
        </is>
      </c>
    </row>
    <row r="13">
      <c r="A13" t="inlineStr">
        <is>
          <t>R-2</t>
        </is>
      </c>
      <c r="B13" t="inlineStr">
        <is>
          <t>到期</t>
        </is>
      </c>
      <c r="C13" t="inlineStr">
        <is>
          <t>四面對錯</t>
        </is>
      </c>
      <c r="D13" s="9" t="inlineStr">
        <is>
          <t>各面判斷＝實際分類 → 對；不同 → 錯；無訊號 → 不判。產業鏈面有訊號時另記它依賴的事件在起算月之後到 起算月＋期間 內有沒有成立。</t>
        </is>
      </c>
      <c r="F13" t="inlineStr">
        <is>
          <t>否</t>
        </is>
      </c>
      <c r="G13" t="inlineStr">
        <is>
          <t>資產!BR～BV</t>
        </is>
      </c>
      <c r="H13" s="9"/>
      <c r="I13" t="inlineStr">
        <is>
          <t>sc1</t>
        </is>
      </c>
      <c r="J13" t="inlineStr">
        <is>
          <t>S-d7f366cb</t>
        </is>
      </c>
    </row>
    <row r="14">
      <c r="A14" t="inlineStr">
        <is>
          <t>D-OK</t>
        </is>
      </c>
      <c r="B14" t="inlineStr">
        <is>
          <t>診斷</t>
        </is>
      </c>
      <c r="C14" t="inlineStr">
        <is>
          <t>OK</t>
        </is>
      </c>
      <c r="D14" s="9" t="inlineStr">
        <is>
          <t>綜合判斷對。多個成立時全部列出（代碼以 | 分隔、白話以；分隔）。</t>
        </is>
      </c>
      <c r="F14" t="inlineStr">
        <is>
          <t>否</t>
        </is>
      </c>
      <c r="G14" t="inlineStr">
        <is>
          <t>資產!BW～BX</t>
        </is>
      </c>
      <c r="H14" s="9"/>
      <c r="I14" t="inlineStr">
        <is>
          <t>sc1</t>
        </is>
      </c>
      <c r="J14" t="inlineStr">
        <is>
          <t>S-d7f366cb</t>
        </is>
      </c>
    </row>
    <row r="15">
      <c r="A15" t="inlineStr">
        <is>
          <t>D-FACE_SPLIT</t>
        </is>
      </c>
      <c r="B15" t="inlineStr">
        <is>
          <t>診斷</t>
        </is>
      </c>
      <c r="C15" t="inlineStr">
        <is>
          <t>FACE_SPLIT</t>
        </is>
      </c>
      <c r="D15" s="9" t="inlineStr">
        <is>
          <t>綜合判斷錯，但有面判對（投票方式或權重的問題）。多個成立時全部列出（代碼以 | 分隔、白話以；分隔）。</t>
        </is>
      </c>
      <c r="F15" t="inlineStr">
        <is>
          <t>否</t>
        </is>
      </c>
      <c r="G15" t="inlineStr">
        <is>
          <t>資產!BW～BX</t>
        </is>
      </c>
      <c r="H15" s="9"/>
      <c r="I15" t="inlineStr">
        <is>
          <t>sc1</t>
        </is>
      </c>
      <c r="J15" t="inlineStr">
        <is>
          <t>S-d7f366cb</t>
        </is>
      </c>
    </row>
    <row r="16">
      <c r="A16" t="inlineStr">
        <is>
          <t>D-ALL_WRONG</t>
        </is>
      </c>
      <c r="B16" t="inlineStr">
        <is>
          <t>診斷</t>
        </is>
      </c>
      <c r="C16" t="inlineStr">
        <is>
          <t>ALL_WRONG</t>
        </is>
      </c>
      <c r="D16" s="9" t="inlineStr">
        <is>
          <t>有訊號的面全部判錯（四面都沒看到；四面都沒有訊號時也算）。多個成立時全部列出（代碼以 | 分隔、白話以；分隔）。</t>
        </is>
      </c>
      <c r="F16" t="inlineStr">
        <is>
          <t>否</t>
        </is>
      </c>
      <c r="G16" t="inlineStr">
        <is>
          <t>資產!BW～BX</t>
        </is>
      </c>
      <c r="H16" s="9"/>
      <c r="I16" t="inlineStr">
        <is>
          <t>sc1</t>
        </is>
      </c>
      <c r="J16" t="inlineStr">
        <is>
          <t>S-d7f366cb</t>
        </is>
      </c>
    </row>
    <row r="17">
      <c r="A17" t="inlineStr">
        <is>
          <t>D-CHAIN_BROKEN</t>
        </is>
      </c>
      <c r="B17" t="inlineStr">
        <is>
          <t>診斷</t>
        </is>
      </c>
      <c r="C17" t="inlineStr">
        <is>
          <t>CHAIN_BROKEN</t>
        </is>
      </c>
      <c r="D17" s="9" t="inlineStr">
        <is>
          <t>產業鏈面判錯，且它依賴的事件到期時沒有發生（傳導鏈在那一步斷了）。多個成立時全部列出（代碼以 | 分隔、白話以；分隔）。</t>
        </is>
      </c>
      <c r="F17" t="inlineStr">
        <is>
          <t>否</t>
        </is>
      </c>
      <c r="G17" t="inlineStr">
        <is>
          <t>資產!BW～BX</t>
        </is>
      </c>
      <c r="H17" s="9"/>
      <c r="I17" t="inlineStr">
        <is>
          <t>sc1</t>
        </is>
      </c>
      <c r="J17" t="inlineStr">
        <is>
          <t>S-d7f366cb</t>
        </is>
      </c>
    </row>
    <row r="18">
      <c r="A18" t="inlineStr">
        <is>
          <t>D-FLAT_MISS</t>
        </is>
      </c>
      <c r="B18" t="inlineStr">
        <is>
          <t>診斷</t>
        </is>
      </c>
      <c r="C18" t="inlineStr">
        <is>
          <t>FLAT_MISS</t>
        </is>
      </c>
      <c r="D18" s="9" t="inlineStr">
        <is>
          <t>預測持平但實際漲／跌且 |實際| &lt; 2 個持平帶（幅度判斷偏保守）；或預測漲／跌但實際持平（幅度高估）。多個成立時全部列出（代碼以 | 分隔、白話以；分隔）。</t>
        </is>
      </c>
      <c r="E18" t="inlineStr">
        <is>
          <t>2 個持平帶</t>
        </is>
      </c>
      <c r="F18" t="inlineStr">
        <is>
          <t>否</t>
        </is>
      </c>
      <c r="G18" t="inlineStr">
        <is>
          <t>資產!BW～BX</t>
        </is>
      </c>
      <c r="H18" s="9"/>
      <c r="I18" t="inlineStr">
        <is>
          <t>sc1</t>
        </is>
      </c>
      <c r="J18" t="inlineStr">
        <is>
          <t>S-d7f366cb</t>
        </is>
      </c>
    </row>
    <row r="19">
      <c r="A19" t="inlineStr">
        <is>
          <t>D-MAG_ONLY</t>
        </is>
      </c>
      <c r="B19" t="inlineStr">
        <is>
          <t>診斷</t>
        </is>
      </c>
      <c r="C19" t="inlineStr">
        <is>
          <t>MAG_ONLY</t>
        </is>
      </c>
      <c r="D19" s="9" t="inlineStr">
        <is>
          <t>綜合判斷對，但實際落在 80% 結果區間外（幅度錯）。多個成立時全部列出（代碼以 | 分隔、白話以；分隔）。</t>
        </is>
      </c>
      <c r="F19" t="inlineStr">
        <is>
          <t>否</t>
        </is>
      </c>
      <c r="G19" t="inlineStr">
        <is>
          <t>資產!BW～BX</t>
        </is>
      </c>
      <c r="H19" s="9"/>
      <c r="I19" t="inlineStr">
        <is>
          <t>sc1</t>
        </is>
      </c>
      <c r="J19" t="inlineStr">
        <is>
          <t>S-d7f366cb</t>
        </is>
      </c>
    </row>
    <row r="20">
      <c r="A20" t="inlineStr">
        <is>
          <t>E-1</t>
        </is>
      </c>
      <c r="B20" t="inlineStr">
        <is>
          <t>事件</t>
        </is>
      </c>
      <c r="C20" t="inlineStr">
        <is>
          <t>候選</t>
        </is>
      </c>
      <c r="D20" s="9" t="inlineStr">
        <is>
          <t>所有傳導鏈中未成立、上游已成立、有機率與平常的節點；同一個觸發代碼出現在多條鏈只留 |校準後機率−平常| 最大的（和網頁「可能會發生什麼」相同）；全部記錄，不只網頁顯示的幾個。每個候選 × 6／12 個月各一列。分組：差距 ≥ 5 比平常更可能、≤ −5 比平常更不可能、其餘差距不到 5 點。</t>
        </is>
      </c>
      <c r="E20" t="inlineStr">
        <is>
          <t>差距 5 個百分點</t>
        </is>
      </c>
      <c r="F20" t="inlineStr">
        <is>
          <t>是</t>
        </is>
      </c>
      <c r="G20" t="inlineStr">
        <is>
          <t>事件!A～W</t>
        </is>
      </c>
      <c r="H20" s="9"/>
      <c r="I20" t="inlineStr">
        <is>
          <t>sc1</t>
        </is>
      </c>
      <c r="J20" t="inlineStr">
        <is>
          <t>S-d7f366cb</t>
        </is>
      </c>
    </row>
    <row r="21">
      <c r="A21" t="inlineStr">
        <is>
          <t>E-2</t>
        </is>
      </c>
      <c r="B21" t="inlineStr">
        <is>
          <t>事件</t>
        </is>
      </c>
      <c r="C21" t="inlineStr">
        <is>
          <t>對答案</t>
        </is>
      </c>
      <c r="D21" s="9" t="inlineStr">
        <is>
          <t>到期月份的資料可用時：起算月之後到到期月份內，觸發條件（scenario.py 的 _masks）至少一個月成立＝發生；Brier＝(機率÷100−實際)²，平常 Brier＝(平常÷100−實際)²；前導事件到期月份往前 3 個月內至少一個月成立＝仍成立。</t>
        </is>
      </c>
      <c r="F21" t="inlineStr">
        <is>
          <t>否</t>
        </is>
      </c>
      <c r="G21" t="inlineStr">
        <is>
          <t>事件!X～AF</t>
        </is>
      </c>
      <c r="H21" s="9"/>
      <c r="I21" t="inlineStr">
        <is>
          <t>sc1</t>
        </is>
      </c>
      <c r="J21" t="inlineStr">
        <is>
          <t>S-d7f366cb</t>
        </is>
      </c>
    </row>
    <row r="22">
      <c r="A22" t="inlineStr">
        <is>
          <t>ED-OK</t>
        </is>
      </c>
      <c r="B22" t="inlineStr">
        <is>
          <t>診斷</t>
        </is>
      </c>
      <c r="C22" t="inlineStr">
        <is>
          <t>OK</t>
        </is>
      </c>
      <c r="D22" s="9" t="inlineStr">
        <is>
          <t>和提示一致（比平常更可能且發生，或比平常更不可能且沒發生）。</t>
        </is>
      </c>
      <c r="F22" t="inlineStr">
        <is>
          <t>否</t>
        </is>
      </c>
      <c r="G22" t="inlineStr">
        <is>
          <t>事件!AE～AF</t>
        </is>
      </c>
      <c r="H22" s="9"/>
      <c r="I22" t="inlineStr">
        <is>
          <t>sc1</t>
        </is>
      </c>
      <c r="J22" t="inlineStr">
        <is>
          <t>S-d7f366cb</t>
        </is>
      </c>
    </row>
    <row r="23">
      <c r="A23" t="inlineStr">
        <is>
          <t>ED-CHAIN_BROKEN</t>
        </is>
      </c>
      <c r="B23" t="inlineStr">
        <is>
          <t>診斷</t>
        </is>
      </c>
      <c r="C23" t="inlineStr">
        <is>
          <t>CHAIN_BROKEN</t>
        </is>
      </c>
      <c r="D23" s="9" t="inlineStr">
        <is>
          <t>比平常更可能但沒有發生，且前導事件到期時已不成立（傳導鏈在前一步斷了）。</t>
        </is>
      </c>
      <c r="F23" t="inlineStr">
        <is>
          <t>否</t>
        </is>
      </c>
      <c r="G23" t="inlineStr">
        <is>
          <t>事件!AE～AF</t>
        </is>
      </c>
      <c r="H23" s="9"/>
      <c r="I23" t="inlineStr">
        <is>
          <t>sc1</t>
        </is>
      </c>
      <c r="J23" t="inlineStr">
        <is>
          <t>S-d7f366cb</t>
        </is>
      </c>
    </row>
    <row r="24">
      <c r="A24" t="inlineStr">
        <is>
          <t>ED-TOO_EARLY_OR_WRONG</t>
        </is>
      </c>
      <c r="B24" t="inlineStr">
        <is>
          <t>診斷</t>
        </is>
      </c>
      <c r="C24" t="inlineStr">
        <is>
          <t>TOO_EARLY_OR_WRONG</t>
        </is>
      </c>
      <c r="D24" s="9" t="inlineStr">
        <is>
          <t>比平常更可能但沒有發生，前導事件到期時仍成立（還沒傳導到，或推論錯了）。</t>
        </is>
      </c>
      <c r="F24" t="inlineStr">
        <is>
          <t>否</t>
        </is>
      </c>
      <c r="G24" t="inlineStr">
        <is>
          <t>事件!AE～AF</t>
        </is>
      </c>
      <c r="H24" s="9"/>
      <c r="I24" t="inlineStr">
        <is>
          <t>sc1</t>
        </is>
      </c>
      <c r="J24" t="inlineStr">
        <is>
          <t>S-d7f366cb</t>
        </is>
      </c>
    </row>
    <row r="25">
      <c r="A25" t="inlineStr">
        <is>
          <t>ED-MISSED</t>
        </is>
      </c>
      <c r="B25" t="inlineStr">
        <is>
          <t>診斷</t>
        </is>
      </c>
      <c r="C25" t="inlineStr">
        <is>
          <t>MISSED</t>
        </is>
      </c>
      <c r="D25" s="9" t="inlineStr">
        <is>
          <t>比平常更不可能但發生了（漏看）。</t>
        </is>
      </c>
      <c r="F25" t="inlineStr">
        <is>
          <t>否</t>
        </is>
      </c>
      <c r="G25" t="inlineStr">
        <is>
          <t>事件!AE～AF</t>
        </is>
      </c>
      <c r="H25" s="9"/>
      <c r="I25" t="inlineStr">
        <is>
          <t>sc1</t>
        </is>
      </c>
      <c r="J25" t="inlineStr">
        <is>
          <t>S-d7f366cb</t>
        </is>
      </c>
    </row>
    <row r="26">
      <c r="A26" t="inlineStr">
        <is>
          <t>ED-NA</t>
        </is>
      </c>
      <c r="B26" t="inlineStr">
        <is>
          <t>診斷</t>
        </is>
      </c>
      <c r="C26" t="inlineStr">
        <is>
          <t>NA</t>
        </is>
      </c>
      <c r="D26" s="9" t="inlineStr">
        <is>
          <t>差距不到 5 點或沒有機率資料：不判對錯，只計 Brier。</t>
        </is>
      </c>
      <c r="F26" t="inlineStr">
        <is>
          <t>否</t>
        </is>
      </c>
      <c r="G26" t="inlineStr">
        <is>
          <t>事件!AE～AF</t>
        </is>
      </c>
      <c r="H26" s="9"/>
      <c r="I26" t="inlineStr">
        <is>
          <t>sc1</t>
        </is>
      </c>
      <c r="J26" t="inlineStr">
        <is>
          <t>S-d7f366cb</t>
        </is>
      </c>
    </row>
    <row r="27">
      <c r="A27" t="inlineStr">
        <is>
          <t>S-1</t>
        </is>
      </c>
      <c r="B27" t="inlineStr">
        <is>
          <t>統計</t>
        </is>
      </c>
      <c r="C27" t="inlineStr">
        <is>
          <t>命中率與基準</t>
        </is>
      </c>
      <c r="D27" s="9" t="inlineStr">
        <is>
          <t>每個期間 × 對象（綜合判斷（投票）、綜合機率判斷、四面、幅度推演）：判定數、命中率、三類隨機基準 33.33%、最常見類別基準（已結算列中實際最常見類別的比例）、命中率減最常見類別、3×3 混淆矩陣、平均幅度誤差與平均絕對誤差（實際−預估）、落在 80% 結果區間比例、有三類機率的對象另算多類 Brier 的平均與「三類各 1/3」基準 Brier（0.6667）；事件：發生率、平均機率、平均 Brier、平常 Brier、技巧分數＝1−Brier÷平常 Brier。判定數 &lt; 30 註明勿過度解讀。</t>
        </is>
      </c>
      <c r="F27" t="inlineStr">
        <is>
          <t>否</t>
        </is>
      </c>
      <c r="G27" t="inlineStr">
        <is>
          <t>統計!全部</t>
        </is>
      </c>
      <c r="H27" s="9"/>
      <c r="I27" t="inlineStr">
        <is>
          <t>sc1</t>
        </is>
      </c>
      <c r="J27" t="inlineStr">
        <is>
          <t>S-d7f366cb</t>
        </is>
      </c>
    </row>
  </sheetData>
  <pageMargins left="0.7" right="0.7" top="0.75" bottom="0.75" header="0.3" footer="0.3"/>
</worksheet>
</file>